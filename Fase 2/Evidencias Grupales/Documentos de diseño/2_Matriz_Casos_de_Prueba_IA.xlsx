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ig\Downloads\"/>
    </mc:Choice>
  </mc:AlternateContent>
  <xr:revisionPtr revIDLastSave="0" documentId="13_ncr:1_{62F6986B-04B7-4BC7-9F91-76168444AA5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esumen_QA" sheetId="1" r:id="rId1"/>
    <sheet name="1_Estimador" sheetId="2" r:id="rId2"/>
    <sheet name="2_Kits_Comun" sheetId="3" r:id="rId3"/>
    <sheet name="3_Kits_Especiales" sheetId="4" r:id="rId4"/>
    <sheet name="4_Modulo_3" sheetId="5" r:id="rId5"/>
    <sheet name="5_Modulo_4" sheetId="6" r:id="rId6"/>
    <sheet name="6_Modulo_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E10" i="1"/>
  <c r="H10" i="1" s="1"/>
  <c r="D10" i="1"/>
  <c r="G9" i="1"/>
  <c r="F9" i="1"/>
  <c r="E9" i="1"/>
  <c r="H9" i="1" s="1"/>
  <c r="D9" i="1"/>
  <c r="G8" i="1"/>
  <c r="F8" i="1"/>
  <c r="E8" i="1"/>
  <c r="H8" i="1" s="1"/>
  <c r="D8" i="1"/>
  <c r="G7" i="1"/>
  <c r="F7" i="1"/>
  <c r="E7" i="1"/>
  <c r="H7" i="1" s="1"/>
  <c r="D7" i="1"/>
  <c r="G6" i="1"/>
  <c r="F6" i="1"/>
  <c r="E6" i="1"/>
  <c r="H6" i="1" s="1"/>
  <c r="D6" i="1"/>
  <c r="G5" i="1"/>
  <c r="G11" i="1" s="1"/>
  <c r="F5" i="1"/>
  <c r="F11" i="1" s="1"/>
  <c r="E5" i="1"/>
  <c r="D5" i="1"/>
  <c r="D11" i="1" s="1"/>
  <c r="E11" i="1" l="1"/>
  <c r="H11" i="1" s="1"/>
  <c r="H5" i="1"/>
</calcChain>
</file>

<file path=xl/sharedStrings.xml><?xml version="1.0" encoding="utf-8"?>
<sst xmlns="http://schemas.openxmlformats.org/spreadsheetml/2006/main" count="451" uniqueCount="317">
  <si>
    <t>TABLERO DE CONTROL DE PRUEBAS (QA / UAT) — METODOLOGÍA DE IA</t>
  </si>
  <si>
    <t>Resumen dinámico de ejecución por Suite de Prueba. Cambia el estado en las pestañas 1 a 6 y este tablero se actualizará automáticamente.</t>
  </si>
  <si>
    <t>Suite de Prueba</t>
  </si>
  <si>
    <t>Pestaña</t>
  </si>
  <si>
    <t>Artefacto / Alcance</t>
  </si>
  <si>
    <t>Total Casos</t>
  </si>
  <si>
    <t>PASS</t>
  </si>
  <si>
    <t>FAIL</t>
  </si>
  <si>
    <t>PENDIENTE / BLOQ.</t>
  </si>
  <si>
    <t>% Aprobación</t>
  </si>
  <si>
    <t>Suite 1 — Estimador Estratégico</t>
  </si>
  <si>
    <t>1_Estimador</t>
  </si>
  <si>
    <t>Estimador_Diagnostico_Estrategico.xlsx</t>
  </si>
  <si>
    <t>Suite 2 — Kits M5 (Estructura Común)</t>
  </si>
  <si>
    <t>2_Kits_Comun</t>
  </si>
  <si>
    <t>5 Kits Excel (Catálogo, Cuestionario, Habilitadores, Canvas)</t>
  </si>
  <si>
    <t>Suite 3 — Kits M5 (Hojas Especializadas)</t>
  </si>
  <si>
    <t>3_Kits_Especiales</t>
  </si>
  <si>
    <t>KPIs y Targets (Finanzas) + Compliance Radar (Legal)</t>
  </si>
  <si>
    <t>Suite 4 — Módulo 3 (Portafolio)</t>
  </si>
  <si>
    <t>4_Modulo_3</t>
  </si>
  <si>
    <t>Modulo_3_Portafolio_Innovacion.docx</t>
  </si>
  <si>
    <t>Suite 5 — Módulo 4 (Marco de Decisión)</t>
  </si>
  <si>
    <t>5_Modulo_4</t>
  </si>
  <si>
    <t>Modulo_4_Marco_Decision_IA.docx</t>
  </si>
  <si>
    <t>Suite 6 — Módulo 6 (Implementación y Cambio)</t>
  </si>
  <si>
    <t>6_Modulo_6</t>
  </si>
  <si>
    <t>Modulo_6_Implementacion_y_Cambio.docx</t>
  </si>
  <si>
    <t>TOTAL GENERAL DEL PLAN DE PRUEBAS</t>
  </si>
  <si>
    <t>6 Pestañas</t>
  </si>
  <si>
    <t>4 Módulos (.docx) + 6 Libros (.xlsx)</t>
  </si>
  <si>
    <t>INVENTARIO DE AUDITORÍA TÉCNICA SOBRE ARCHIVOS EXCEL DEL PAQUETE</t>
  </si>
  <si>
    <t>Archivo Excel Auditado</t>
  </si>
  <si>
    <t>Pestañas Incluidas</t>
  </si>
  <si>
    <t>Fórmulas Activas Verificadas</t>
  </si>
  <si>
    <t>Reglas Data Validation</t>
  </si>
  <si>
    <t>Estado de Integridad</t>
  </si>
  <si>
    <t>Estimador, Escenarios, Factores (3)</t>
  </si>
  <si>
    <t>6 listas desplegables</t>
  </si>
  <si>
    <t>100% OK — Sin errores #REF! ni #N/A</t>
  </si>
  <si>
    <t>Kit_Finanzas_Administracion.xlsx</t>
  </si>
  <si>
    <t>Catálogo, Cuestionario, Canvas, Habilitadores, KPIs y Targets (5)</t>
  </si>
  <si>
    <t>3 bloques validados</t>
  </si>
  <si>
    <t>100% OK — Uplift reducción/incremento exacto</t>
  </si>
  <si>
    <t>Kit_Legal_Compliance.xlsx</t>
  </si>
  <si>
    <t>Compliance Radar, Catálogo, Cuestionario, Canvas, Tabla Maestra (5)</t>
  </si>
  <si>
    <t>4 bloques validados</t>
  </si>
  <si>
    <t>100% OK — 26 VLOOKUP en 12 países exactos</t>
  </si>
  <si>
    <t>Kit_Marketing_DemandGen_B2B.xlsx</t>
  </si>
  <si>
    <t>Catálogo, Cuestionario, Canvas, Habilitadores (4)</t>
  </si>
  <si>
    <t>100% OK — Matriz Pain × Readiness exacta</t>
  </si>
  <si>
    <t>Kit_Operaciones_Planta_PYME.xlsx</t>
  </si>
  <si>
    <t>100% OK — Umbrales planta (80/60/40%) exactos</t>
  </si>
  <si>
    <t>Kit_Ventas_B2B.xlsx</t>
  </si>
  <si>
    <t>Catálogo, Cuestionario, Canvas, Sales Stack Maturity (4)</t>
  </si>
  <si>
    <t>100% OK — Umbrales Sales Stack exactos</t>
  </si>
  <si>
    <t>SUITE 1: ESTIMADOR DE DIAGNÓSTICO ESTRATÉGICO</t>
  </si>
  <si>
    <t>Archivo bajo prueba: Estimador_Diagnostico_Estrategico.xlsx (Pestañas Estimador, Escenarios y Factores)</t>
  </si>
  <si>
    <t>ID Caso</t>
  </si>
  <si>
    <t>Componente / Referencia</t>
  </si>
  <si>
    <t>Tipo de Prueba</t>
  </si>
  <si>
    <t>Prioridad</t>
  </si>
  <si>
    <t>Objetivo de la Prueba</t>
  </si>
  <si>
    <t>Datos de Entrada / Pasos de Ejecución</t>
  </si>
  <si>
    <t>Resultado Esperado</t>
  </si>
  <si>
    <t>Estado (QA)</t>
  </si>
  <si>
    <t>Observaciones / Evidencia</t>
  </si>
  <si>
    <t>TC-EST-01</t>
  </si>
  <si>
    <t>Hoja 'Estimador' (Celdas B7:F29, B33:B36)</t>
  </si>
  <si>
    <t>Funcional / Cálculo</t>
  </si>
  <si>
    <t>Crítica</t>
  </si>
  <si>
    <t>Verificar el cálculo base de esfuerzo y costo para un cliente típico (mediano, sector estándar, madurez intermedia) sin factores adicionales.</t>
  </si>
  <si>
    <t>1. En B7 seleccionar 'Mediana (200-2.000 colaboradores)'
2. En B8: 'Estándar / no regulado'
3. En B9: 'Intermedia (2.5 - 3.4)'
4. En B10: 'Single country'
5. En B11: 'No existen'
6. En B13: 'Estándar (M1+M2+M3, 4 semanas)'
7. Verificar tarifas B20:B22 ($2000, $1200, $700).</t>
  </si>
  <si>
    <t>• Factores D7:D11 = 1 y Factor Combinado (D16) = 1.0
• M1 (Fila 26): 14.5 días | $19,400 USD
• M2 (Fila 27): 22.5 días | $27,100 USD
• M3 (Fila 28): 16.5 días | $18,550 USD
• Total Días (E29 / B33) = 53.5 días (428 horas)
• INVERSIÓN ESTIMADA (F29 / B36) = $65,050 USD.</t>
  </si>
  <si>
    <t>Verificado en auditoría automatizada: cuadra 100% con pestaña Escenarios.</t>
  </si>
  <si>
    <t>TC-EST-02</t>
  </si>
  <si>
    <t>Hoja 'Estimador' y 'Escenarios' (Modo Lite)</t>
  </si>
  <si>
    <t>Funcional / Regla</t>
  </si>
  <si>
    <t>Alta</t>
  </si>
  <si>
    <t>Validar que el modo Lite anule el esfuerzo y costo de los Módulos 2 y 3 aplicando factores 0.</t>
  </si>
  <si>
    <t>1. Mantener parámetros de cliente típico (D16 = 1.0).
2. Cambiar B13 a 'Lite (solo M1, 4 semanas)'.
3. Revisar fila 14 y tabla de desglose (filas 26-29).</t>
  </si>
  <si>
    <t>• Factores por fase (E14, G14, I14): M1 = 1, M2 = 0, M3 = 0.
• Días y costo de M2 y M3 = 0.
• Total Días = 14.5 (Sénior 5, Manager 5.5, Analista 4) | 116 horas.
• INVERSIÓN ESTIMADA = $19,400 USD (idéntico a Escenarios!B15).</t>
  </si>
  <si>
    <t>Fórmulas VLOOKUP en E14, G14 e I14 operan sin errores.</t>
  </si>
  <si>
    <t>TC-EST-03</t>
  </si>
  <si>
    <t>Hoja 'Estimador' y 'Escenarios' (Modo Completo)</t>
  </si>
  <si>
    <t>Validar que el modo Completo aplique el factor 1.2x (+20% esfuerzo) en las 3 fases y ajuste el calendario a 6 semanas.</t>
  </si>
  <si>
    <t>1. Mantener cliente típico (D16 = 1.0).
2. Cambiar B13 a 'Completo (extendido, 6 semanas)'.</t>
  </si>
  <si>
    <t>• Calendario base (E13 / B35) = 6 semanas.
• Factores M1, M2, M3 = 1.2.
• Total Días = 64.2 (Sénior 14.4, Manager 28.8, Analista 21) | 513.6 horas.
• INVERSIÓN ESTIMADA = $78,060 USD (idéntico a Escenarios!D15).</t>
  </si>
  <si>
    <t>Verificado en pestaña Estimador y Escenarios.</t>
  </si>
  <si>
    <t>TC-EST-04</t>
  </si>
  <si>
    <t>Hoja 'Estimador' y 'Factores' (Complejidad Máxima)</t>
  </si>
  <si>
    <t>Valor Límite (Boundary)</t>
  </si>
  <si>
    <t>Verificar la multiplicación encadenada en D16 (=D7*D8*D9*D10*D11) bajo el escenario de máxima complejidad posible.</t>
  </si>
  <si>
    <t>Seleccionar:
• B7: Multinacional (&gt;10.000 colab.) [2.5]
• B8: Altamente regulado [1.3]
• B9: Inicial (1.0 - 2.4) [1.1]
• B10: Multi-país (4+ geografías) [1.7]
• B11: No existen [1.0]
• B13: Completo (6 semanas) [1.2].</t>
  </si>
  <si>
    <t>• Factor combinado (D16) = 2.5 * 1.3 * 1.1 * 1.7 * 1.0 = 6.0775.
• Multiplicador total con Modo Completo = 6.0775 * 1.2 = 7.293.
• Total Días (E29) = 53.5 * 7.293 = 390.1755 días.
• INVERSIÓN ESTIMADA (B36) = $474,409.65 USD.</t>
  </si>
  <si>
    <t>Cálculo exacto verificado.</t>
  </si>
  <si>
    <t>TC-EST-05</t>
  </si>
  <si>
    <t>Hoja 'Estimador' (Complejidad Mínima)</t>
  </si>
  <si>
    <t>Media</t>
  </si>
  <si>
    <t>Verificar el cálculo en el escenario de menor tamaño, mayor madurez y descuento por assessments vigentes.</t>
  </si>
  <si>
    <t>Seleccionar:
• B7: Pequeña (&lt;200 colab.) [0.7]
• B8: Estándar [1.0]
• B9: Madura (3.5 - 5.0) [0.9]
• B10: Single country [1.0]
• B11: Existen completos y vigentes [0.85]
• B13: Estándar [1.0].</t>
  </si>
  <si>
    <t>• Factor combinado (D16) = 0.7 * 1.0 * 0.9 * 1.0 * 0.85 = 0.5355.
• Total Días = 53.5 * 0.5355 = 28.64925 días.
• INVERSIÓN ESTIMADA = $34,834.28 USD.</t>
  </si>
  <si>
    <t>TC-EST-06</t>
  </si>
  <si>
    <t>Hoja 'Estimador' (Celdas B7:B11, B13)</t>
  </si>
  <si>
    <t>Validación de Datos</t>
  </si>
  <si>
    <t>Comprobar que las celdas de selección rechacen textos libres o valores fuera de las tablas de la hoja Factores.</t>
  </si>
  <si>
    <t>Intentar escribir manualmente 'Empresa Gigante' en B7 o 'Modo Rápido' en B13.</t>
  </si>
  <si>
    <t>Excel muestra ventana de error de validación de datos y bloquea el ingreso no autorizado.</t>
  </si>
  <si>
    <t>6 reglas DataValidation activas y verificadas.</t>
  </si>
  <si>
    <t>SUITE 2: KITS FUNCIONALES MÓDULO 5 (ESTRUCTURA COMÚN)</t>
  </si>
  <si>
    <t>Archivos bajo prueba: Finanzas, Legal, Marketing, Operaciones de Planta y Ventas B2B (Catálogo, Cuestionario, Habilitadores, Canvas)</t>
  </si>
  <si>
    <t>TC-KIT-01</t>
  </si>
  <si>
    <t>Hoja 'Catálogo' (Todos los Kits M5)</t>
  </si>
  <si>
    <t>Funcional / Conteo</t>
  </si>
  <si>
    <t>Verificar las fórmulas COUNTIF al pie del Catálogo que contabilizan casos marcados como 'Sí', 'Tal vez', 'No' y Total Candidatos.</t>
  </si>
  <si>
    <t>En la columna '¿Aplica a nosotros?' (Columna J):
1. Marcar 4 casos con 'Sí'.
2. Marcar 3 casos con 'Tal vez'.
3. Marcar 2 casos con 'No'.</t>
  </si>
  <si>
    <t>• Conteo 'Sí' = 4
• Conteo 'Tal vez' = 3
• Conteo 'No' = 2 (en kits que muestran fila No)
• Total casos candidatos (Sí + Tal vez) = 7.</t>
  </si>
  <si>
    <t>Fórmulas COUNTIF y validación de lista ('Sí,No,Tal vez') verificadas en los 5 kits.</t>
  </si>
  <si>
    <t>TC-KIT-02</t>
  </si>
  <si>
    <t>Hoja 'Cuestionario' (Estado Inicial Vacío)</t>
  </si>
  <si>
    <t>Manejo de Errores</t>
  </si>
  <si>
    <t>Comprobar que cuando el cuestionario está vacío no aparezcan errores #DIV/0! ni #VALUE! gracias al uso de IFERROR.</t>
  </si>
  <si>
    <t>Dejar en blanco las 16 respuestas del cuestionario (C9:C12, C15:C18, C21:C24, C27:C30).</t>
  </si>
  <si>
    <t>• Puntaje Pain = 0 ('Sin datos')
• Puntaje Readiness = 0 ('Sin datos')
• Recomendación muestra: 'Completa primero el cuestionario'.</t>
  </si>
  <si>
    <t>Fórmula =IFERROR(AVERAGE(...),0) verificada en todos los kits.</t>
  </si>
  <si>
    <t>TC-KIT-03</t>
  </si>
  <si>
    <t>Hoja 'Cuestionario' (Cuadrante Quick Win)</t>
  </si>
  <si>
    <t>Regla de Negocio / Límite</t>
  </si>
  <si>
    <t>Validar que cuando Pain &gt;= 3.5 y Readiness &gt;= 3.5 se emita la recomendación de QUICK WIN PRIORITARIO.</t>
  </si>
  <si>
    <t>1. En Bloque A (C9:C12) ingresar: 4, 4, 3, 3 (Promedio = 3.50).
2. En Bloques B, C y D (C15:C30) ingresar: todos 4 (Promedio = 4.00).</t>
  </si>
  <si>
    <t>• Pain = 3.5 ('Pain ALTO')
• Readiness = 4.0 ('Readiness ALTA')
• Recomendación = 'QUICK WIN PRIORITARIO — Avanzar ahora'.</t>
  </si>
  <si>
    <t>Umbral exacto &gt;=3.5 verificado en fórmula IF(AND(...)).</t>
  </si>
  <si>
    <t>TC-KIT-04</t>
  </si>
  <si>
    <t>Hoja 'Cuestionario' (Invertir en Habilitadores)</t>
  </si>
  <si>
    <t>Validar que con Pain &gt;= 3.5 y Readiness &lt; 3.5 el kit indique invertir primero en habilitadores / stack.</t>
  </si>
  <si>
    <t>1. En Bloque A (C9:C12) ingresar: 5, 4, 4, 5 (Promedio = 4.50).
2. En Bloques B, C y D ingresar valores con promedio = 3.40.</t>
  </si>
  <si>
    <t>• Pain = 4.5 ('Pain ALTO')
• Readiness = 3.4 ('Readiness MEDIA')
• Recomendación = 'INVERTIR EN HABILITADORES...' (o 'INVERTIR EN STACK COMERCIAL PRIMERO...' en Ventas).</t>
  </si>
  <si>
    <t>Verificado en los 5 kits funcionales.</t>
  </si>
  <si>
    <t>TC-KIT-05</t>
  </si>
  <si>
    <t>Hoja 'Cuestionario' (Oportunidad sin Urgencia)</t>
  </si>
  <si>
    <t>Regla de Negocio</t>
  </si>
  <si>
    <t>Validar que con Pain &lt; 3.5 y Readiness &gt;= 3.5 el kit clasifique el área como Oportunidad sin Urgencia.</t>
  </si>
  <si>
    <t>1. En Bloque A ingresar: 3, 3, 3, 4 (Promedio = 3.25).
2. En Bloques B, C y D ingresar todos 4 (Promedio = 4.00).</t>
  </si>
  <si>
    <t>• Pain = 3.25 ('Pain MEDIO')
• Readiness = 4.0 ('Readiness ALTA')
• Recomendación = 'OPORTUNIDAD SIN URGENCIA — Capacidad sí, pain no'.</t>
  </si>
  <si>
    <t>Verificado en todos los kits.</t>
  </si>
  <si>
    <t>TC-KIT-06</t>
  </si>
  <si>
    <t>Hoja 'Cuestionario' (Aún no es momento)</t>
  </si>
  <si>
    <t>Validar que cuando tanto Pain &lt; 3.5 como Readiness &lt; 3.5 la recomendación sea construir capacidad antes.</t>
  </si>
  <si>
    <t>Ingresar puntaje 2 en las 16 preguntas del cuestionario.</t>
  </si>
  <si>
    <t>• Pain = 2.0 ('Pain BAJO')
• Readiness = 2.0 ('Readiness BAJA')
• Recomendación = 'AÚN NO ES MOMENTO — Construir capacidad antes'.</t>
  </si>
  <si>
    <t>TC-KIT-07</t>
  </si>
  <si>
    <t>Hoja 'Cuestionario' (Validación 1 a 5)</t>
  </si>
  <si>
    <t>Verificar que las celdas de respuesta solo acepten números enteros entre 1 y 5.</t>
  </si>
  <si>
    <t>Intentar ingresar 0, 6 o un decimal como 3.5 en la celda C9.</t>
  </si>
  <si>
    <t>Excel bloquea el ingreso (DataValidation type='whole' entre 1 y 5).</t>
  </si>
  <si>
    <t>Regla activa en C9:C12, C15:C18, C21:C24, C27:C30.</t>
  </si>
  <si>
    <t>TC-KIT-08</t>
  </si>
  <si>
    <t>Hoja 'Habilitadores' (Fórmula de Score y Exclusión de 'No aplica')</t>
  </si>
  <si>
    <t>Comprobar que el cálculo de readiness pondere Sí=1.0, Parcial=0.5, No=0 y excluya 'No aplica' del denominador.</t>
  </si>
  <si>
    <t>En los 20 habilitadores marcar:
• 10 como 'Sí'
• 4 como 'Parcial'
• 2 como 'No'
• 4 como 'No aplica'.</t>
  </si>
  <si>
    <t>• Total evaluables (denominador) = 10 + 4 + 2 = 16.
• Puntaje ponderado (numerador) = 10 + (4 * 0.5) = 12.
• Score de Readiness = 12 / 16 = 75.0% (0.75).</t>
  </si>
  <si>
    <t>Fórmula verificada: 'No aplica' no distorsiona el denominador.</t>
  </si>
  <si>
    <t>TC-KIT-09</t>
  </si>
  <si>
    <t>Hoja 'Habilitadores' / 'Sales Stack' (Umbrales de Recomendación)</t>
  </si>
  <si>
    <t>Validar los cortes de recomendación según el porcentaje alcanzado en cada kit.</t>
  </si>
  <si>
    <t>Probar porcentajes en los límites:
• Finanzas/Marketing: 70%, 40%, &lt;40%
• Operaciones/Ventas: 80%, 60%, 40%, &lt;40%.</t>
  </si>
  <si>
    <t>• Finanzas/Marketing: &gt;=70% 'READY', 40-69% 'PARCIALMENTE READY', &lt;40% 'NO READY'.
• Operaciones/Ventas: &gt;=80% 'LISTOS para arrancar IA...', 60-79% 'LISTOS para Quick Wins...', 40-59% 'INVERTIR en paralelo...', &lt;40% 'PRIORIDAD: cerrar 6-9 meses antes...'.</t>
  </si>
  <si>
    <t>Fórmulas condicionales anidadas verificadas.</t>
  </si>
  <si>
    <t>TC-KIT-10</t>
  </si>
  <si>
    <t>Hoja 'Canvas' (10 Campos Obligatorios)</t>
  </si>
  <si>
    <t>UAT / Documental</t>
  </si>
  <si>
    <t>Verificar en taller que el Canvas completo contenga los datos cuantificados requeridos para alimentar el Módulo 2.</t>
  </si>
  <si>
    <t>Revisar el llenado de los 10 bloques del Canvas para un caso seleccionado del Catálogo.</t>
  </si>
  <si>
    <t>• Nombre &lt;= 8 palabras.
• Costo del dolor y Magnitud del cambio cuantificados (USD/mes, horas-persona o transacciones).
• Datos disponibles, familia IA hipotética, riesgos y Sponsor nominal especificados.</t>
  </si>
  <si>
    <t>Estructura de 10 campos validada en los 5 kits.</t>
  </si>
  <si>
    <t>SUITE 3: HOJAS ESPECIALIZADAS (FINANZAS Y LEGAL)</t>
  </si>
  <si>
    <t>Archivos bajo prueba: Kit_Finanzas_Administracion.xlsx (KPIs y Targets) y Kit_Legal_Compliance.xlsx (Compliance Radar y Tabla Maestra)</t>
  </si>
  <si>
    <t>TC-ESP-01</t>
  </si>
  <si>
    <t>Kit_Finanzas — Hoja 'KPIs y Targets' (KPIs de Reducción)</t>
  </si>
  <si>
    <t>Verificar que en los KPIs donde menor es mejor (DSO, MAPE, tiempos) la fórmula de Uplift sea =(Baseline - Target)/Baseline.</t>
  </si>
  <si>
    <t>1. En Caso 1 (DSO, fila 5): ingresar Baseline E5 = 60, Target F5 = 45.
2. En Caso 8 (Tiempo paquete, fila 12): ingresar Baseline E12 = 10, Target F12 = 4.</t>
  </si>
  <si>
    <t>• Celda G5 (=(E5-F5)/E5) calcula +25.0% de mejora/reducción.
• Celda G12 (=(E12-F12)/E12) calcula +60.0% de reducción de tiempo.
• Aplica correctamente a filas 5, 7, 9, 10, 12, 13, 14 y 15.</t>
  </si>
  <si>
    <t>Inspeccionadas las 8 filas de reducción en Kit_Finanzas.</t>
  </si>
  <si>
    <t>TC-ESP-02</t>
  </si>
  <si>
    <t>Kit_Finanzas — Hoja 'KPIs y Targets' (KPIs de Incremento)</t>
  </si>
  <si>
    <t>Verificar que en los KPIs donde mayor es mejor (tasa respuesta, % conciliado, % autocodificado, ahorro) la fórmula sea =(Target - Baseline)/Baseline.</t>
  </si>
  <si>
    <t>1. En Caso 2 (Tasa respuesta, fila 6): ingresar E6 = 20%, F6 = 30%.
2. En Caso 4 (% conciliado, fila 8): ingresar E8 = 50%, F8 = 90%.</t>
  </si>
  <si>
    <t>• Celda G6 (=(F6-E6)/E6) calcula +50.0% de incremento.
• Celda G8 (=(F8-E8)/E8) calcula +80.0% de incremento.
• Aplica correctamente a filas 6, 8, 11 y 16.</t>
  </si>
  <si>
    <t>Inspeccionadas las 4 filas de incremento en Kit_Finanzas.</t>
  </si>
  <si>
    <t>TC-ESP-03</t>
  </si>
  <si>
    <t>Kit_Finanzas — Hoja 'KPIs y Targets' (Resumen E19:E22)</t>
  </si>
  <si>
    <t>Comprobar que el bloque RESUMEN cuente los casos parametrizados y promedie el Uplift y el Horizonte.</t>
  </si>
  <si>
    <t>Con los 4 casos cargados en TC-ESP-01 y TC-ESP-02 (Uplifts: 25%, 60%, 50%, 80%) e ingresando Horizontes H5=3, H6=3, H8=6, H12=6.</t>
  </si>
  <si>
    <t>• E19 (Casos con Baseline) = 4
• E20 (Casos con Target) = 4
• E21 (Uplift promedio) = 53.75%
• E22 (Horizonte promedio) = 4.5 meses.</t>
  </si>
  <si>
    <t>Fórmulas COUNT y AVERAGE verificadas.</t>
  </si>
  <si>
    <t>TC-ESP-04</t>
  </si>
  <si>
    <t>Kit_Legal — Hoja 'Compliance Radar' y 'Tabla Maestra'</t>
  </si>
  <si>
    <t>Integración / VLOOKUP</t>
  </si>
  <si>
    <t>Validar que al cambiar el país en B5, las 26 fórmulas VLOOKUP recuperen sin error #N/A toda la normativa de la Tabla Maestra.</t>
  </si>
  <si>
    <t>En Compliance Radar!B5 seleccionar sucesivamente:
1. 'Chile'
2. 'Brasil'
3. 'México'
4. 'Unión Europea (referencia)'.</t>
  </si>
  <si>
    <t>• Chile: Ley 19.628 + Ley 21.719 (2024) | Agencia de Protección de Datos Personales (en creación).
• Brasil: LGPD (Lei nº 13.709/2018) | Autoridad ANPD | Sanción 2% facturación hasta R$ 50M.
• Todas las 12 jurisdicciones cargan sus 22 columnas sin #N/A.</t>
  </si>
  <si>
    <t>26 fórmulas VLOOKUP verificadas contra Tabla Maestra!A5:V16.</t>
  </si>
  <si>
    <t>TC-ESP-05</t>
  </si>
  <si>
    <t>Kit_Legal — Checklist de Controles (B44:B58)</t>
  </si>
  <si>
    <t>Comprobar la validación de estados en el autodiagnóstico de controles de cumplimiento.</t>
  </si>
  <si>
    <t>Desplegar opciones en celdas B44 a B58 de la hoja Compliance Radar.</t>
  </si>
  <si>
    <t>Permite seleccionar exclusivamente: 'Implementado', 'Parcial', 'Pendiente', 'No aplica'.</t>
  </si>
  <si>
    <t>Validación de lista verificada.</t>
  </si>
  <si>
    <t>SUITE 4: MÓDULO 3 — PORTAFOLIO DE INNOVACIÓN</t>
  </si>
  <si>
    <t>Documento bajo prueba: Modulo_3_Portafolio_Innovacion.docx (Priorización, Horizontes H1/H2, Gobernanza, 12 Métricas y Financiamiento)</t>
  </si>
  <si>
    <t>TC-M3-01</t>
  </si>
  <si>
    <t>Módulo 3 — Sección 3.2 (Proceso de Priorización en 5 Pasos)</t>
  </si>
  <si>
    <t>Regla Metodológica / Cálculo</t>
  </si>
  <si>
    <t>Verificar la aplicación de topes máximos en la bonificación por encadenamiento (+20 máx) y penalización por concentración (-15 máx).</t>
  </si>
  <si>
    <t>Tomar una iniciativa candidata del Módulo 2 con Score de Valor V = 70:
1. Habilita 3 capacidades reutilizables (+10 c/u).
2. Comparte dependencia crítica con otras 4 iniciativas (-5 c/u).</t>
  </si>
  <si>
    <t>• Bonificación por encadenamiento = +20 puntos (aplica tope de +20 aunque 3*10 = 30).
• Penalización por concentración = -15 puntos (aplica tope de -15 aunque 4*-5 = -20).
• Score de Valor Ajustado = 70 + 20 - 15 = 75 puntos.</t>
  </si>
  <si>
    <t>Regla documentada en Sección 3.2 del Módulo 3.</t>
  </si>
  <si>
    <t>TC-M3-02</t>
  </si>
  <si>
    <t>Módulo 3 — Sección 3.1 y 3.2 (Filtro de Readiness del Área)</t>
  </si>
  <si>
    <t>Validar el descarte o postergación obligatoria de candidatas cuya área propietaria tenga IA-readiness &lt;= 2.4.</t>
  </si>
  <si>
    <t>Evaluar 2 candidatas con alto valor (V = 88):
• Candidata 1: Área con IA-readiness = 2.4.
• Candidata 2: Área con IA-readiness = 2.5.</t>
  </si>
  <si>
    <t>• Candidata 1 (2.4): DESCARTADA / POSPUESTA hasta cerrar brecha de habilitadores.
• Candidata 2 (2.5): APROBADA para asignación de horizonte.</t>
  </si>
  <si>
    <t>Consistente entre Sección 3.1 y Paso 4 de Sección 3.2.</t>
  </si>
  <si>
    <t>TC-M3-03</t>
  </si>
  <si>
    <t>Módulo 3 — Sección 2.3 y 3.3 (Balance H1/H2 y Concentración)</t>
  </si>
  <si>
    <t>Regla de Gobernanza</t>
  </si>
  <si>
    <t>Auditar que la composición final del portafolio respete las proporciones por madurez, tope de H2 y límites por área/familia.</t>
  </si>
  <si>
    <t>Simular un portafolio para cliente de Madurez Inicial (Nivel 1-2 en M1) intentando:
• Incluir 4 proyectos H2 simultáneos.
• Concentrar 65% en GenAI y 55% en el área Comercial.</t>
  </si>
  <si>
    <t>Rechazo por 4 reglas de selección:
1. Madurez Inicial requiere balance recomendado de 80% Quick Wins (H1) / 20% H2.
2. Tope estricto: máximo 3 iniciativas H2 simultáneas hasta escalar la primera.
3. Máximo 50% del portafolio en una misma área propietaria.
4. Máximo 60% concentrado en una misma familia de IA.</t>
  </si>
  <si>
    <t>Reglas verificadas en Secciones 2.3 y 3.3.</t>
  </si>
  <si>
    <t>TC-M3-04</t>
  </si>
  <si>
    <t>Módulo 3 — Sección 5 (Tablero Ejecutivo de 12 Métricas)</t>
  </si>
  <si>
    <t>Umbrales de Monitoreo</t>
  </si>
  <si>
    <t>Comprobar la activación de alertas rojas cuando las métricas de Salud (A), Valor (B) y Riesgo (C) cruzan sus umbrales críticos.</t>
  </si>
  <si>
    <t>Evaluar un tablero con: A1 (Paso de gates) = 45%, A3 (Adherencia comité) = 75%, A4 (Carga PMO) = 92%, B1 (Valor capturado) = 55%, B3 (Adopción) = 55%, C3 (Riesgo crítico activo) = 3, C4 (Cobertura regulatoria) = 85%.</t>
  </si>
  <si>
    <t>Se disparan alertas rojas con acción obligatoria para la siguiente sesión:
• A1 &lt; 50%, A3 &lt; 80%, A4 &gt; 90%.
• B1 &lt; 60%, B3 &lt; 60%.
• C3 &gt; 2 iniciativas críticas sin control, C4 &lt; 90% en sector regulado.</t>
  </si>
  <si>
    <t>12 métricas y umbrales verificados en Sección 5.</t>
  </si>
  <si>
    <t>TC-M3-05</t>
  </si>
  <si>
    <t>Módulo 3 — Sección 6 y 7 (Financiamiento y Plantillas)</t>
  </si>
  <si>
    <t>Auditoría Documental</t>
  </si>
  <si>
    <t>Verificar que el presupuesto anual y los Business Cases en Gate G2 cumplan los 7 principios de financiamiento.</t>
  </si>
  <si>
    <t>Inspeccionar el presupuesto anual del portafolio y un Business Case presentado para paso a piloto (G2).</t>
  </si>
  <si>
    <t>1. Al menos 15% del presupuesto anual permanece en reserva sin asignación inicial.
2. TCO calculado a 36 meses (no solo costo de construcción).
3. 'Costo del fracaso aceptado' y umbrales de aborto explícitos en el Project Charter y Business Case.</t>
  </si>
  <si>
    <t>Principios 1 a 7 y plantillas verificadas en Secciones 6 y 7.</t>
  </si>
  <si>
    <t>SUITE 5: MÓDULO 4 — MARCO DE DECISIÓN DE IA</t>
  </si>
  <si>
    <t>Documento bajo prueba: Modulo_4_Marco_Decision_IA.docx (Árbol de Decisión, Matriz Multicriterio, Reglas de Interpretación y Regulación)</t>
  </si>
  <si>
    <t>TC-M4-01</t>
  </si>
  <si>
    <t>Módulo 4 — Sección 5.2 (Árbol de Decisión de 5 Preguntas)</t>
  </si>
  <si>
    <t>Lógica de Decisión</t>
  </si>
  <si>
    <t>Comprobar que todas las bifurcaciones del árbol conduzcan a la hoja terminal (verde, ámbar o roja) correspondiente.</t>
  </si>
  <si>
    <t>Recorrer las 6 ramas:
1. P1=Sí -&gt; Cambian &gt;4/año=No
2. P1=Sí -&gt; Cambian &gt;4/año=Sí
3. P1=No -&gt; P2=Parcialmente
4. P1=No -&gt; P2=Sí -&gt; P3=Sí
5. P1=No -&gt; P2=No -&gt; P4=No
6. P1=No -&gt; P2=No -&gt; P4=Sí -&gt; P5=Sí.</t>
  </si>
  <si>
    <t>1. Familia A (Reglas y automatización clásica)
2. Reglas + capa BPM/BRE
3. ML + reglas de respaldo (híbrido)
4. Familia B (ML supervisado / no supervisado)
5. Hoja Roja: volver a definir el problema con experto
6. Hoja Ámbar: Familia C con guardarraíles fuertes (RAG verificable, validación humana).</t>
  </si>
  <si>
    <t>Árbol completo verificado en Sección 5.2.</t>
  </si>
  <si>
    <t>TC-M4-02</t>
  </si>
  <si>
    <t>Módulo 4 — Sección 6.2 y 6.3 (Matriz de Scoring Multicriterio)</t>
  </si>
  <si>
    <t>Cálculo Matemático</t>
  </si>
  <si>
    <t>Verificar la fórmula Σ(puntaje_criterio × peso × afinidad) y su normalización a base 100 con el caso de referencia (Churn Telco).</t>
  </si>
  <si>
    <t>Evaluar el vector de 10 criterios (C1 a C10): [2, 5, 5, 3, 3, 3, 2, 4, 3, 3] con pesos [15%, 15%, 10%, 10%, 10%, 10%, 8%, 8%, 7%, 7%] contra la tabla de afinidad 6.2.</t>
  </si>
  <si>
    <t>• Suma ponderada cruda:
  - Reglas (A) = 1.99 -&gt; Normalizado = 60
  - ML clásico (B) = 2.69 -&gt; Normalizado = 85
  - GenAI (C) = 1.84 -&gt; Normalizado = 55
• Recomendación cuantificada: Familia B (ML clásico).</t>
  </si>
  <si>
    <t>Cálculo verificado exactamente contra Sección 6.3.</t>
  </si>
  <si>
    <t>TC-M4-03</t>
  </si>
  <si>
    <t>Módulo 4 — Sección 6.4 (Reglas de Interpretación de Brechas)</t>
  </si>
  <si>
    <t>Validar la regla de decisión aplicable según la diferencia de puntos entre la primera y la segunda familia.</t>
  </si>
  <si>
    <t>Probar 4 diferencias en base 100:
• Dif = 25 pts (&gt;20)
• Dif = 14 pts (entre 10 y 20)
• Dif = 6 pts (&lt;10)
• Todas las familias &lt; 50 pts.</t>
  </si>
  <si>
    <t>• &gt; 20 pts: Familia ganadora claramente correcta.
• 10 a 20 pts: Ganadora recomendada, revisar criterios para posibles componentes híbridos.
• &lt; 10 pts: Solución híbrida casi segura; descomponer en sub-problemas.
• Ninguna &gt; 50 pts: No es buen candidato a IA; replantear problema.</t>
  </si>
  <si>
    <t>Reglas verificadas en Sección 6.4.</t>
  </si>
  <si>
    <t>TC-M4-04</t>
  </si>
  <si>
    <t>Módulo 4 — Sección 7 y 9 (Cuestionario Q1-Q18 y Salida Regulatoria)</t>
  </si>
  <si>
    <t>Cumplimiento / Auditoría</t>
  </si>
  <si>
    <t>Verificar que el artefacto de salida del Módulo 4 incluya la trazabilidad exigida por EU AI Act, GDPR e ISO 42001.</t>
  </si>
  <si>
    <t>Auditar el documento de decisión de 1-2 páginas generado al finalizar el taller del Módulo 4.</t>
  </si>
  <si>
    <t>Contiene: respuestas Q1-Q18, camino del árbol justificado, matriz de 10 criterios, identificación de marcos regulatorios aplicables, categoría de riesgo, obligaciones documentales (ej. DPIA) y firmas.</t>
  </si>
  <si>
    <t>Verificado en Secciones 7.6 y 9.4.</t>
  </si>
  <si>
    <t>SUITE 6: MÓDULO 6 — IMPLEMENTACIÓN Y GESTIÓN DEL CAMBIO</t>
  </si>
  <si>
    <t>Documento bajo prueba: Modulo_6_Implementacion_y_Cambio.docx (Ciclo de Vida 6A, Gates G0-G5, Riesgos, Adopción 6B, Shadow AI y XAI)</t>
  </si>
  <si>
    <t>TC-M6-01</t>
  </si>
  <si>
    <t>Módulo 6 — Sección A.3.2 y B.6.4 (Prototipo Baja Fidelidad y XAI)</t>
  </si>
  <si>
    <t>Diseño UX / XAI</t>
  </si>
  <si>
    <t>Comprobar que el prototipo de baja fidelidad entregado en Fase 1 (Descubrimiento) incluya los 6 estados obligatorios antes de pasar a PoC.</t>
  </si>
  <si>
    <t>Inspeccionar las pantallas de la maqueta navegable presentada en el Gate G1.</t>
  </si>
  <si>
    <t>Incluye las 6 pantallas/flujos:
1. Respuesta correcta con al menos 1 patrón de XAI visual (citas, factores, casos similares, confianza visual o contrafactual).
2. Respuesta incierta.
3. Estado 'No sé' con alternativas.
4. Error detectable y corrección.
5. Flujo de override y feedback.
6. Baja confianza ('verifique antes de actuar').</t>
  </si>
  <si>
    <t>Verificado en conexión Parte A (A.3.2) y Parte B (B.6.4).</t>
  </si>
  <si>
    <t>TC-M6-02</t>
  </si>
  <si>
    <t>Módulo 6 — Sección A.4.1 y B.8 (Gates de Calidad G0 a G5)</t>
  </si>
  <si>
    <t>Control de Gobernanza</t>
  </si>
  <si>
    <t>Validar que un proyecto no pueda cruzar el Gate G3 (Piloto -&gt; Escalamiento) si tiene buenas métricas técnicas pero baja adopción.</t>
  </si>
  <si>
    <t>Simular solicitud de paso en Gate G3 con precisión del modelo en 92% (verde), pero con Penetración de usuarios = 45% (&lt;60%) y sin runbooks de soporte L2/L3.</t>
  </si>
  <si>
    <t>• Decisión en Gate G3: RECHAZADO / Permanece en Fase 3 (Piloto).
• G3 exige simultáneamente métricas técnicas y de adopción en verde (Penetración &gt;= 60%), arquitectura validada y planes de soporte/adopción aprobados por Sponsor + Comité IA + Operación.</t>
  </si>
  <si>
    <t>Tabla maestra de Gates verificada en Sección A.4.1.</t>
  </si>
  <si>
    <t>TC-M6-03</t>
  </si>
  <si>
    <t>Módulo 6 — Sección A.7 (Matriz RACI Técnica)</t>
  </si>
  <si>
    <t>Segregación de Roles</t>
  </si>
  <si>
    <t>Auditar que la matriz RACI del proyecto respete los dos principios de asignación de responsabilidades.</t>
  </si>
  <si>
    <t>Revisar las 6 actividades de la tabla RACI adaptada al cliente.</t>
  </si>
  <si>
    <t>1. Exactamente una 'A' (Aprobador final) por cada actividad.
2. En ninguna actividad el rol que tiene la 'A' es el mismo perfil que ejecuta la 'R' (Responsable).</t>
  </si>
  <si>
    <t>Regla explícita en Sección A.7.</t>
  </si>
  <si>
    <t>TC-M6-04</t>
  </si>
  <si>
    <t>Módulo 6 — Sección B.4.4 (Protocolo Shadow AI y Sandbox)</t>
  </si>
  <si>
    <t>Seguridad / Cambio</t>
  </si>
  <si>
    <t>Verificar la implementación de los 3 componentes del protocolo de uso aceptable y las reglas del Sandbox de experimentación.</t>
  </si>
  <si>
    <t>1. Revisar Lista Verde, Lista Roja y Vía de Solicitud.
2. Auditar los datasets utilizados dentro del Sandbox libre.</t>
  </si>
  <si>
    <t>1. Lista Verde y Lista Roja publicadas.
2. Vía de solicitud para nuevas herramientas con SLA de respuesta &lt; 4 semanas.
3. El Sandbox opera únicamente con datos sintéticos o anonimizados (cero PII o datos confidenciales reales).</t>
  </si>
  <si>
    <t>Controles verificados en Sección B.4.4.</t>
  </si>
  <si>
    <t>TC-M6-05</t>
  </si>
  <si>
    <t>Módulo 6 — Sección B.5 (Framework Miedo al Reemplazo)</t>
  </si>
  <si>
    <t>Ética / Comunicación</t>
  </si>
  <si>
    <t>Auditar la clasificación honesta del modo de impacto humano (Automatización, Aumentación o Sustitución) y los 7 compromisos éticos.</t>
  </si>
  <si>
    <t>Revisar el plan de gestión del cambio de una iniciativa que reduce el headcount de un área operativa.</t>
  </si>
  <si>
    <t>• Se clasifica y comunica honestamente como 'Sustitución' (no como aumentación).
• Incluye plan de transición individual, priorización de recolocación interna, transparencia algorítmica, no-discriminación y opción manual disponible sin penalización durante la transición.</t>
  </si>
  <si>
    <t>Verificado en Secciones B.5.1 a B.5.4.</t>
  </si>
  <si>
    <t>TC-M6-06</t>
  </si>
  <si>
    <t>Módulo 6 — Sección B.6.3 y B.8 (Métricas de Adopción y Override)</t>
  </si>
  <si>
    <t>Monitoreo Operativo</t>
  </si>
  <si>
    <t>Detectar tanto el rechazo del sistema como el sesgo de automatización (Automation Bias) a través de la métrica de override humano.</t>
  </si>
  <si>
    <t>Evaluar dos escenarios en operación:
• Escenario A: Override = 80%, Fallback manual = 55%, Penetración = 40%.
• Escenario B: Override = 0.1% en un copiloto con tasa de error conocida del 10%.</t>
  </si>
  <si>
    <t>• Escenario A: Alerta por baja confianza y abandono hacia vía manual.
• Escenario B: Alerta por Automation Bias (los usuarios aceptan sugerencias sin verificar); activa refuerzo de capacitación 'capacitar para desafiar'.</t>
  </si>
  <si>
    <t>Métricas e indicador maestro verificados en Sección B.8.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</si>
</sst>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D9E1F2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1F4E79"/>
      <name val="Calibri"/>
    </font>
    <font>
      <b/>
      <sz val="16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164" fontId="4" fillId="6" borderId="1" xfId="0" applyNumberFormat="1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164" fontId="4" fillId="7" borderId="1" xfId="0" applyNumberFormat="1" applyFont="1" applyFill="1" applyBorder="1" applyAlignment="1">
      <alignment horizontal="center" vertical="top"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15" fontId="7" fillId="2" borderId="0" xfId="0" applyNumberFormat="1" applyFont="1" applyFill="1" applyAlignment="1">
      <alignment horizontal="left" vertical="center" indent="1"/>
    </xf>
    <xf numFmtId="15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H17" sqref="H17"/>
    </sheetView>
  </sheetViews>
  <sheetFormatPr baseColWidth="10" defaultColWidth="9.140625" defaultRowHeight="15" x14ac:dyDescent="0.25"/>
  <cols>
    <col min="1" max="1" width="36" customWidth="1"/>
    <col min="2" max="2" width="22" customWidth="1"/>
    <col min="3" max="3" width="48" customWidth="1"/>
    <col min="4" max="4" width="16" customWidth="1"/>
    <col min="5" max="6" width="14" customWidth="1"/>
    <col min="7" max="7" width="18" customWidth="1"/>
    <col min="8" max="8" width="16" customWidth="1"/>
  </cols>
  <sheetData>
    <row r="1" spans="1:8" ht="27.95" customHeight="1" x14ac:dyDescent="0.25">
      <c r="A1" s="21" t="s">
        <v>0</v>
      </c>
      <c r="B1" s="20"/>
      <c r="C1" s="20"/>
      <c r="D1" s="20"/>
      <c r="E1" s="20"/>
      <c r="F1" s="20"/>
      <c r="G1" s="20"/>
      <c r="H1" s="20"/>
    </row>
    <row r="2" spans="1:8" ht="20.100000000000001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</row>
    <row r="4" spans="1:8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1.95" customHeight="1" x14ac:dyDescent="0.25">
      <c r="A5" s="2" t="s">
        <v>10</v>
      </c>
      <c r="B5" s="3" t="s">
        <v>11</v>
      </c>
      <c r="C5" s="4" t="s">
        <v>12</v>
      </c>
      <c r="D5" s="3">
        <f>COUNTA('1_Estimador'!A5:A10)</f>
        <v>6</v>
      </c>
      <c r="E5" s="3">
        <f>COUNTIF('1_Estimador'!H5:H10,"PASS")</f>
        <v>6</v>
      </c>
      <c r="F5" s="3">
        <f>COUNTIF('1_Estimador'!H5:H10,"FAIL")</f>
        <v>0</v>
      </c>
      <c r="G5" s="3">
        <f>COUNTIF('1_Estimador'!H5:H10,"PENDIENTE")+COUNTIF('1_Estimador'!H5:H10,"BLOQUEADO")</f>
        <v>0</v>
      </c>
      <c r="H5" s="5">
        <f t="shared" ref="H5:H11" si="0">IFERROR(E5/D5,0)</f>
        <v>1</v>
      </c>
    </row>
    <row r="6" spans="1:8" ht="21.95" customHeight="1" x14ac:dyDescent="0.25">
      <c r="A6" s="6" t="s">
        <v>13</v>
      </c>
      <c r="B6" s="7" t="s">
        <v>14</v>
      </c>
      <c r="C6" s="8" t="s">
        <v>15</v>
      </c>
      <c r="D6" s="7">
        <f>COUNTA('2_Kits_Comun'!A5:A14)</f>
        <v>10</v>
      </c>
      <c r="E6" s="7">
        <f>COUNTIF('2_Kits_Comun'!H5:H14,"PASS")</f>
        <v>10</v>
      </c>
      <c r="F6" s="7">
        <f>COUNTIF('2_Kits_Comun'!H5:H14,"FAIL")</f>
        <v>0</v>
      </c>
      <c r="G6" s="7">
        <f>COUNTIF('2_Kits_Comun'!H5:H14,"PENDIENTE")+COUNTIF('2_Kits_Comun'!H5:H14,"BLOQUEADO")</f>
        <v>0</v>
      </c>
      <c r="H6" s="9">
        <f t="shared" si="0"/>
        <v>1</v>
      </c>
    </row>
    <row r="7" spans="1:8" ht="21.95" customHeight="1" x14ac:dyDescent="0.25">
      <c r="A7" s="2" t="s">
        <v>16</v>
      </c>
      <c r="B7" s="3" t="s">
        <v>17</v>
      </c>
      <c r="C7" s="4" t="s">
        <v>18</v>
      </c>
      <c r="D7" s="3">
        <f>COUNTA('3_Kits_Especiales'!A5:A9)</f>
        <v>5</v>
      </c>
      <c r="E7" s="3">
        <f>COUNTIF('3_Kits_Especiales'!H5:H9,"PASS")</f>
        <v>5</v>
      </c>
      <c r="F7" s="3">
        <f>COUNTIF('3_Kits_Especiales'!H5:H9,"FAIL")</f>
        <v>0</v>
      </c>
      <c r="G7" s="3">
        <f>COUNTIF('3_Kits_Especiales'!H5:H9,"PENDIENTE")+COUNTIF('3_Kits_Especiales'!H5:H9,"BLOQUEADO")</f>
        <v>0</v>
      </c>
      <c r="H7" s="5">
        <f t="shared" si="0"/>
        <v>1</v>
      </c>
    </row>
    <row r="8" spans="1:8" ht="21.95" customHeight="1" x14ac:dyDescent="0.25">
      <c r="A8" s="6" t="s">
        <v>19</v>
      </c>
      <c r="B8" s="7" t="s">
        <v>20</v>
      </c>
      <c r="C8" s="8" t="s">
        <v>21</v>
      </c>
      <c r="D8" s="7">
        <f>COUNTA('4_Modulo_3'!A5:A9)</f>
        <v>5</v>
      </c>
      <c r="E8" s="7">
        <f>COUNTIF('4_Modulo_3'!H5:H9,"PASS")</f>
        <v>5</v>
      </c>
      <c r="F8" s="7">
        <f>COUNTIF('4_Modulo_3'!H5:H9,"FAIL")</f>
        <v>0</v>
      </c>
      <c r="G8" s="7">
        <f>COUNTIF('4_Modulo_3'!H5:H9,"PENDIENTE")+COUNTIF('4_Modulo_3'!H5:H9,"BLOQUEADO")</f>
        <v>0</v>
      </c>
      <c r="H8" s="9">
        <f t="shared" si="0"/>
        <v>1</v>
      </c>
    </row>
    <row r="9" spans="1:8" ht="21.95" customHeight="1" x14ac:dyDescent="0.25">
      <c r="A9" s="2" t="s">
        <v>22</v>
      </c>
      <c r="B9" s="3" t="s">
        <v>23</v>
      </c>
      <c r="C9" s="4" t="s">
        <v>24</v>
      </c>
      <c r="D9" s="3">
        <f>COUNTA('5_Modulo_4'!A5:A8)</f>
        <v>4</v>
      </c>
      <c r="E9" s="3">
        <f>COUNTIF('5_Modulo_4'!H5:H8,"PASS")</f>
        <v>4</v>
      </c>
      <c r="F9" s="3">
        <f>COUNTIF('5_Modulo_4'!H5:H8,"FAIL")</f>
        <v>0</v>
      </c>
      <c r="G9" s="3">
        <f>COUNTIF('5_Modulo_4'!H5:H8,"PENDIENTE")+COUNTIF('5_Modulo_4'!H5:H8,"BLOQUEADO")</f>
        <v>0</v>
      </c>
      <c r="H9" s="5">
        <f t="shared" si="0"/>
        <v>1</v>
      </c>
    </row>
    <row r="10" spans="1:8" ht="26.25" customHeight="1" x14ac:dyDescent="0.25">
      <c r="A10" s="6" t="s">
        <v>25</v>
      </c>
      <c r="B10" s="7" t="s">
        <v>26</v>
      </c>
      <c r="C10" s="8" t="s">
        <v>27</v>
      </c>
      <c r="D10" s="7">
        <f>COUNTA('6_Modulo_6'!A5:A10)</f>
        <v>6</v>
      </c>
      <c r="E10" s="7">
        <f>COUNTIF('6_Modulo_6'!H5:H10,"PASS")</f>
        <v>6</v>
      </c>
      <c r="F10" s="7">
        <f>COUNTIF('6_Modulo_6'!H5:H10,"FAIL")</f>
        <v>0</v>
      </c>
      <c r="G10" s="7">
        <f>COUNTIF('6_Modulo_6'!H5:H10,"PENDIENTE")+COUNTIF('6_Modulo_6'!H5:H10,"BLOQUEADO")</f>
        <v>0</v>
      </c>
      <c r="H10" s="9">
        <f t="shared" si="0"/>
        <v>1</v>
      </c>
    </row>
    <row r="11" spans="1:8" ht="24" customHeight="1" x14ac:dyDescent="0.25">
      <c r="A11" s="10" t="s">
        <v>28</v>
      </c>
      <c r="B11" s="11" t="s">
        <v>29</v>
      </c>
      <c r="C11" s="10" t="s">
        <v>30</v>
      </c>
      <c r="D11" s="11">
        <f>SUM(D5:D10)</f>
        <v>36</v>
      </c>
      <c r="E11" s="11">
        <f>SUM(E5:E10)</f>
        <v>36</v>
      </c>
      <c r="F11" s="11">
        <f>SUM(F5:F10)</f>
        <v>0</v>
      </c>
      <c r="G11" s="11">
        <f>SUM(G5:G10)</f>
        <v>0</v>
      </c>
      <c r="H11" s="12">
        <f t="shared" si="0"/>
        <v>1</v>
      </c>
    </row>
    <row r="14" spans="1:8" x14ac:dyDescent="0.25">
      <c r="A14" s="13" t="s">
        <v>31</v>
      </c>
    </row>
    <row r="15" spans="1:8" ht="21.95" customHeight="1" x14ac:dyDescent="0.25">
      <c r="A15" s="14" t="s">
        <v>32</v>
      </c>
      <c r="B15" s="14" t="s">
        <v>33</v>
      </c>
      <c r="C15" s="14" t="s">
        <v>34</v>
      </c>
      <c r="D15" s="14" t="s">
        <v>35</v>
      </c>
      <c r="E15" s="14" t="s">
        <v>36</v>
      </c>
    </row>
    <row r="16" spans="1:8" ht="25.5" customHeight="1" x14ac:dyDescent="0.25">
      <c r="A16" s="6" t="s">
        <v>12</v>
      </c>
      <c r="B16" s="8" t="s">
        <v>37</v>
      </c>
      <c r="C16" s="7">
        <v>87</v>
      </c>
      <c r="D16" s="7" t="s">
        <v>38</v>
      </c>
      <c r="E16" s="15" t="s">
        <v>39</v>
      </c>
    </row>
    <row r="17" spans="1:5" ht="42.75" customHeight="1" x14ac:dyDescent="0.25">
      <c r="A17" s="2" t="s">
        <v>40</v>
      </c>
      <c r="B17" s="4" t="s">
        <v>41</v>
      </c>
      <c r="C17" s="3">
        <v>35</v>
      </c>
      <c r="D17" s="3" t="s">
        <v>42</v>
      </c>
      <c r="E17" s="15" t="s">
        <v>43</v>
      </c>
    </row>
    <row r="18" spans="1:5" ht="42.75" customHeight="1" x14ac:dyDescent="0.25">
      <c r="A18" s="6" t="s">
        <v>44</v>
      </c>
      <c r="B18" s="8" t="s">
        <v>45</v>
      </c>
      <c r="C18" s="7">
        <v>34</v>
      </c>
      <c r="D18" s="7" t="s">
        <v>46</v>
      </c>
      <c r="E18" s="15" t="s">
        <v>47</v>
      </c>
    </row>
    <row r="19" spans="1:5" ht="30" customHeight="1" x14ac:dyDescent="0.25">
      <c r="A19" s="2" t="s">
        <v>48</v>
      </c>
      <c r="B19" s="4" t="s">
        <v>49</v>
      </c>
      <c r="C19" s="3">
        <v>19</v>
      </c>
      <c r="D19" s="3" t="s">
        <v>42</v>
      </c>
      <c r="E19" s="15" t="s">
        <v>50</v>
      </c>
    </row>
    <row r="20" spans="1:5" ht="29.25" customHeight="1" x14ac:dyDescent="0.25">
      <c r="A20" s="6" t="s">
        <v>51</v>
      </c>
      <c r="B20" s="8" t="s">
        <v>49</v>
      </c>
      <c r="C20" s="7">
        <v>14</v>
      </c>
      <c r="D20" s="7" t="s">
        <v>42</v>
      </c>
      <c r="E20" s="15" t="s">
        <v>52</v>
      </c>
    </row>
    <row r="21" spans="1:5" ht="45.75" customHeight="1" x14ac:dyDescent="0.25">
      <c r="A21" s="2" t="s">
        <v>53</v>
      </c>
      <c r="B21" s="4" t="s">
        <v>54</v>
      </c>
      <c r="C21" s="3">
        <v>14</v>
      </c>
      <c r="D21" s="3" t="s">
        <v>42</v>
      </c>
      <c r="E21" s="15" t="s">
        <v>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sqref="A1:I1"/>
    </sheetView>
  </sheetViews>
  <sheetFormatPr baseColWidth="10" defaultColWidth="9.140625" defaultRowHeight="15" x14ac:dyDescent="0.25"/>
  <cols>
    <col min="1" max="1" width="13" customWidth="1"/>
    <col min="2" max="2" width="26" customWidth="1"/>
    <col min="3" max="3" width="18" customWidth="1"/>
    <col min="4" max="4" width="12" customWidth="1"/>
    <col min="5" max="5" width="32" customWidth="1"/>
    <col min="6" max="6" width="42" customWidth="1"/>
    <col min="7" max="7" width="45" customWidth="1"/>
    <col min="8" max="8" width="14" customWidth="1"/>
    <col min="9" max="9" width="28" customWidth="1"/>
  </cols>
  <sheetData>
    <row r="1" spans="1:9" ht="27.95" customHeight="1" x14ac:dyDescent="0.25">
      <c r="A1" s="21" t="s">
        <v>56</v>
      </c>
      <c r="B1" s="20"/>
      <c r="C1" s="20"/>
      <c r="D1" s="20"/>
      <c r="E1" s="20"/>
      <c r="F1" s="20"/>
      <c r="G1" s="20"/>
      <c r="H1" s="20"/>
      <c r="I1" s="20"/>
    </row>
    <row r="2" spans="1:9" ht="20.100000000000001" customHeight="1" x14ac:dyDescent="0.25">
      <c r="A2" s="19" t="s">
        <v>57</v>
      </c>
      <c r="B2" s="20"/>
      <c r="C2" s="20"/>
      <c r="D2" s="20"/>
      <c r="E2" s="20"/>
      <c r="F2" s="20"/>
      <c r="G2" s="20"/>
      <c r="H2" s="20"/>
      <c r="I2" s="20"/>
    </row>
    <row r="4" spans="1:9" ht="24.95" customHeight="1" x14ac:dyDescent="0.25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</row>
    <row r="5" spans="1:9" ht="68.099999999999994" customHeight="1" x14ac:dyDescent="0.25">
      <c r="A5" s="16" t="s">
        <v>67</v>
      </c>
      <c r="B5" s="4" t="s">
        <v>68</v>
      </c>
      <c r="C5" s="3" t="s">
        <v>69</v>
      </c>
      <c r="D5" s="16" t="s">
        <v>70</v>
      </c>
      <c r="E5" s="4" t="s">
        <v>71</v>
      </c>
      <c r="F5" s="4" t="s">
        <v>72</v>
      </c>
      <c r="G5" s="4" t="s">
        <v>73</v>
      </c>
      <c r="H5" s="17" t="s">
        <v>6</v>
      </c>
      <c r="I5" s="4" t="s">
        <v>74</v>
      </c>
    </row>
    <row r="6" spans="1:9" ht="68.099999999999994" customHeight="1" x14ac:dyDescent="0.25">
      <c r="A6" s="18" t="s">
        <v>75</v>
      </c>
      <c r="B6" s="8" t="s">
        <v>76</v>
      </c>
      <c r="C6" s="7" t="s">
        <v>77</v>
      </c>
      <c r="D6" s="18" t="s">
        <v>78</v>
      </c>
      <c r="E6" s="8" t="s">
        <v>79</v>
      </c>
      <c r="F6" s="8" t="s">
        <v>80</v>
      </c>
      <c r="G6" s="8" t="s">
        <v>81</v>
      </c>
      <c r="H6" s="17" t="s">
        <v>6</v>
      </c>
      <c r="I6" s="8" t="s">
        <v>82</v>
      </c>
    </row>
    <row r="7" spans="1:9" ht="68.099999999999994" customHeight="1" x14ac:dyDescent="0.25">
      <c r="A7" s="16" t="s">
        <v>83</v>
      </c>
      <c r="B7" s="4" t="s">
        <v>84</v>
      </c>
      <c r="C7" s="3" t="s">
        <v>69</v>
      </c>
      <c r="D7" s="16" t="s">
        <v>78</v>
      </c>
      <c r="E7" s="4" t="s">
        <v>85</v>
      </c>
      <c r="F7" s="4" t="s">
        <v>86</v>
      </c>
      <c r="G7" s="4" t="s">
        <v>87</v>
      </c>
      <c r="H7" s="17" t="s">
        <v>6</v>
      </c>
      <c r="I7" s="4" t="s">
        <v>88</v>
      </c>
    </row>
    <row r="8" spans="1:9" ht="68.099999999999994" customHeight="1" x14ac:dyDescent="0.25">
      <c r="A8" s="18" t="s">
        <v>89</v>
      </c>
      <c r="B8" s="8" t="s">
        <v>90</v>
      </c>
      <c r="C8" s="7" t="s">
        <v>91</v>
      </c>
      <c r="D8" s="18" t="s">
        <v>78</v>
      </c>
      <c r="E8" s="8" t="s">
        <v>92</v>
      </c>
      <c r="F8" s="8" t="s">
        <v>93</v>
      </c>
      <c r="G8" s="8" t="s">
        <v>94</v>
      </c>
      <c r="H8" s="17" t="s">
        <v>6</v>
      </c>
      <c r="I8" s="8" t="s">
        <v>95</v>
      </c>
    </row>
    <row r="9" spans="1:9" ht="68.099999999999994" customHeight="1" x14ac:dyDescent="0.25">
      <c r="A9" s="16" t="s">
        <v>96</v>
      </c>
      <c r="B9" s="4" t="s">
        <v>97</v>
      </c>
      <c r="C9" s="3" t="s">
        <v>91</v>
      </c>
      <c r="D9" s="16" t="s">
        <v>98</v>
      </c>
      <c r="E9" s="4" t="s">
        <v>99</v>
      </c>
      <c r="F9" s="4" t="s">
        <v>100</v>
      </c>
      <c r="G9" s="4" t="s">
        <v>101</v>
      </c>
      <c r="H9" s="17" t="s">
        <v>6</v>
      </c>
      <c r="I9" s="4" t="s">
        <v>95</v>
      </c>
    </row>
    <row r="10" spans="1:9" ht="68.099999999999994" customHeight="1" x14ac:dyDescent="0.25">
      <c r="A10" s="18" t="s">
        <v>102</v>
      </c>
      <c r="B10" s="8" t="s">
        <v>103</v>
      </c>
      <c r="C10" s="7" t="s">
        <v>104</v>
      </c>
      <c r="D10" s="18" t="s">
        <v>98</v>
      </c>
      <c r="E10" s="8" t="s">
        <v>105</v>
      </c>
      <c r="F10" s="8" t="s">
        <v>106</v>
      </c>
      <c r="G10" s="8" t="s">
        <v>107</v>
      </c>
      <c r="H10" s="17" t="s">
        <v>6</v>
      </c>
      <c r="I10" s="8" t="s">
        <v>108</v>
      </c>
    </row>
  </sheetData>
  <mergeCells count="2">
    <mergeCell ref="A1:I1"/>
    <mergeCell ref="A2:I2"/>
  </mergeCells>
  <dataValidations count="2">
    <dataValidation type="list" sqref="H5:H10" xr:uid="{00000000-0002-0000-0100-000000000000}">
      <formula1>"PASS,FAIL,PENDIENTE,BLOQUEADO"</formula1>
    </dataValidation>
    <dataValidation type="list" sqref="D5:D10" xr:uid="{00000000-0002-0000-0100-000001000000}">
      <formula1>"Crítica,Alta,Media,Baja"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sqref="A1:I1"/>
    </sheetView>
  </sheetViews>
  <sheetFormatPr baseColWidth="10" defaultColWidth="9.140625" defaultRowHeight="15" x14ac:dyDescent="0.25"/>
  <cols>
    <col min="1" max="1" width="13" customWidth="1"/>
    <col min="2" max="2" width="26" customWidth="1"/>
    <col min="3" max="3" width="18" customWidth="1"/>
    <col min="4" max="4" width="12" customWidth="1"/>
    <col min="5" max="5" width="32" customWidth="1"/>
    <col min="6" max="6" width="42" customWidth="1"/>
    <col min="7" max="7" width="45" customWidth="1"/>
    <col min="8" max="8" width="14" customWidth="1"/>
    <col min="9" max="9" width="28" customWidth="1"/>
  </cols>
  <sheetData>
    <row r="1" spans="1:9" ht="27.95" customHeight="1" x14ac:dyDescent="0.25">
      <c r="A1" s="21" t="s">
        <v>109</v>
      </c>
      <c r="B1" s="20"/>
      <c r="C1" s="20"/>
      <c r="D1" s="20"/>
      <c r="E1" s="20"/>
      <c r="F1" s="20"/>
      <c r="G1" s="20"/>
      <c r="H1" s="20"/>
      <c r="I1" s="20"/>
    </row>
    <row r="2" spans="1:9" ht="20.100000000000001" customHeight="1" x14ac:dyDescent="0.25">
      <c r="A2" s="19" t="s">
        <v>110</v>
      </c>
      <c r="B2" s="20"/>
      <c r="C2" s="20"/>
      <c r="D2" s="20"/>
      <c r="E2" s="20"/>
      <c r="F2" s="20"/>
      <c r="G2" s="20"/>
      <c r="H2" s="20"/>
      <c r="I2" s="20"/>
    </row>
    <row r="4" spans="1:9" ht="24.95" customHeight="1" x14ac:dyDescent="0.25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</row>
    <row r="5" spans="1:9" ht="68.099999999999994" customHeight="1" x14ac:dyDescent="0.25">
      <c r="A5" s="16" t="s">
        <v>111</v>
      </c>
      <c r="B5" s="4" t="s">
        <v>112</v>
      </c>
      <c r="C5" s="3" t="s">
        <v>113</v>
      </c>
      <c r="D5" s="16" t="s">
        <v>78</v>
      </c>
      <c r="E5" s="4" t="s">
        <v>114</v>
      </c>
      <c r="F5" s="4" t="s">
        <v>115</v>
      </c>
      <c r="G5" s="4" t="s">
        <v>116</v>
      </c>
      <c r="H5" s="17" t="s">
        <v>6</v>
      </c>
      <c r="I5" s="4" t="s">
        <v>117</v>
      </c>
    </row>
    <row r="6" spans="1:9" ht="68.099999999999994" customHeight="1" x14ac:dyDescent="0.25">
      <c r="A6" s="18" t="s">
        <v>118</v>
      </c>
      <c r="B6" s="8" t="s">
        <v>119</v>
      </c>
      <c r="C6" s="7" t="s">
        <v>120</v>
      </c>
      <c r="D6" s="18" t="s">
        <v>78</v>
      </c>
      <c r="E6" s="8" t="s">
        <v>121</v>
      </c>
      <c r="F6" s="8" t="s">
        <v>122</v>
      </c>
      <c r="G6" s="8" t="s">
        <v>123</v>
      </c>
      <c r="H6" s="17" t="s">
        <v>6</v>
      </c>
      <c r="I6" s="8" t="s">
        <v>124</v>
      </c>
    </row>
    <row r="7" spans="1:9" ht="68.099999999999994" customHeight="1" x14ac:dyDescent="0.25">
      <c r="A7" s="16" t="s">
        <v>125</v>
      </c>
      <c r="B7" s="4" t="s">
        <v>126</v>
      </c>
      <c r="C7" s="3" t="s">
        <v>127</v>
      </c>
      <c r="D7" s="16" t="s">
        <v>70</v>
      </c>
      <c r="E7" s="4" t="s">
        <v>128</v>
      </c>
      <c r="F7" s="4" t="s">
        <v>129</v>
      </c>
      <c r="G7" s="4" t="s">
        <v>130</v>
      </c>
      <c r="H7" s="17" t="s">
        <v>6</v>
      </c>
      <c r="I7" s="4" t="s">
        <v>131</v>
      </c>
    </row>
    <row r="8" spans="1:9" ht="68.099999999999994" customHeight="1" x14ac:dyDescent="0.25">
      <c r="A8" s="18" t="s">
        <v>132</v>
      </c>
      <c r="B8" s="8" t="s">
        <v>133</v>
      </c>
      <c r="C8" s="7" t="s">
        <v>127</v>
      </c>
      <c r="D8" s="18" t="s">
        <v>70</v>
      </c>
      <c r="E8" s="8" t="s">
        <v>134</v>
      </c>
      <c r="F8" s="8" t="s">
        <v>135</v>
      </c>
      <c r="G8" s="8" t="s">
        <v>136</v>
      </c>
      <c r="H8" s="17" t="s">
        <v>6</v>
      </c>
      <c r="I8" s="8" t="s">
        <v>137</v>
      </c>
    </row>
    <row r="9" spans="1:9" ht="68.099999999999994" customHeight="1" x14ac:dyDescent="0.25">
      <c r="A9" s="16" t="s">
        <v>138</v>
      </c>
      <c r="B9" s="4" t="s">
        <v>139</v>
      </c>
      <c r="C9" s="3" t="s">
        <v>140</v>
      </c>
      <c r="D9" s="16" t="s">
        <v>78</v>
      </c>
      <c r="E9" s="4" t="s">
        <v>141</v>
      </c>
      <c r="F9" s="4" t="s">
        <v>142</v>
      </c>
      <c r="G9" s="4" t="s">
        <v>143</v>
      </c>
      <c r="H9" s="17" t="s">
        <v>6</v>
      </c>
      <c r="I9" s="4" t="s">
        <v>144</v>
      </c>
    </row>
    <row r="10" spans="1:9" ht="68.099999999999994" customHeight="1" x14ac:dyDescent="0.25">
      <c r="A10" s="18" t="s">
        <v>145</v>
      </c>
      <c r="B10" s="8" t="s">
        <v>146</v>
      </c>
      <c r="C10" s="7" t="s">
        <v>140</v>
      </c>
      <c r="D10" s="18" t="s">
        <v>78</v>
      </c>
      <c r="E10" s="8" t="s">
        <v>147</v>
      </c>
      <c r="F10" s="8" t="s">
        <v>148</v>
      </c>
      <c r="G10" s="8" t="s">
        <v>149</v>
      </c>
      <c r="H10" s="17" t="s">
        <v>6</v>
      </c>
      <c r="I10" s="8" t="s">
        <v>144</v>
      </c>
    </row>
    <row r="11" spans="1:9" ht="68.099999999999994" customHeight="1" x14ac:dyDescent="0.25">
      <c r="A11" s="16" t="s">
        <v>150</v>
      </c>
      <c r="B11" s="4" t="s">
        <v>151</v>
      </c>
      <c r="C11" s="3" t="s">
        <v>104</v>
      </c>
      <c r="D11" s="16" t="s">
        <v>98</v>
      </c>
      <c r="E11" s="4" t="s">
        <v>152</v>
      </c>
      <c r="F11" s="4" t="s">
        <v>153</v>
      </c>
      <c r="G11" s="4" t="s">
        <v>154</v>
      </c>
      <c r="H11" s="17" t="s">
        <v>6</v>
      </c>
      <c r="I11" s="4" t="s">
        <v>155</v>
      </c>
    </row>
    <row r="12" spans="1:9" ht="68.099999999999994" customHeight="1" x14ac:dyDescent="0.25">
      <c r="A12" s="18" t="s">
        <v>156</v>
      </c>
      <c r="B12" s="8" t="s">
        <v>157</v>
      </c>
      <c r="C12" s="7" t="s">
        <v>69</v>
      </c>
      <c r="D12" s="18" t="s">
        <v>70</v>
      </c>
      <c r="E12" s="8" t="s">
        <v>158</v>
      </c>
      <c r="F12" s="8" t="s">
        <v>159</v>
      </c>
      <c r="G12" s="8" t="s">
        <v>160</v>
      </c>
      <c r="H12" s="17" t="s">
        <v>6</v>
      </c>
      <c r="I12" s="8" t="s">
        <v>161</v>
      </c>
    </row>
    <row r="13" spans="1:9" ht="68.099999999999994" customHeight="1" x14ac:dyDescent="0.25">
      <c r="A13" s="16" t="s">
        <v>162</v>
      </c>
      <c r="B13" s="4" t="s">
        <v>163</v>
      </c>
      <c r="C13" s="3" t="s">
        <v>91</v>
      </c>
      <c r="D13" s="16" t="s">
        <v>78</v>
      </c>
      <c r="E13" s="4" t="s">
        <v>164</v>
      </c>
      <c r="F13" s="4" t="s">
        <v>165</v>
      </c>
      <c r="G13" s="4" t="s">
        <v>166</v>
      </c>
      <c r="H13" s="17" t="s">
        <v>6</v>
      </c>
      <c r="I13" s="4" t="s">
        <v>167</v>
      </c>
    </row>
    <row r="14" spans="1:9" ht="68.099999999999994" customHeight="1" x14ac:dyDescent="0.25">
      <c r="A14" s="18" t="s">
        <v>168</v>
      </c>
      <c r="B14" s="8" t="s">
        <v>169</v>
      </c>
      <c r="C14" s="7" t="s">
        <v>170</v>
      </c>
      <c r="D14" s="18" t="s">
        <v>98</v>
      </c>
      <c r="E14" s="8" t="s">
        <v>171</v>
      </c>
      <c r="F14" s="8" t="s">
        <v>172</v>
      </c>
      <c r="G14" s="8" t="s">
        <v>173</v>
      </c>
      <c r="H14" s="17" t="s">
        <v>6</v>
      </c>
      <c r="I14" s="8" t="s">
        <v>174</v>
      </c>
    </row>
  </sheetData>
  <mergeCells count="2">
    <mergeCell ref="A1:I1"/>
    <mergeCell ref="A2:I2"/>
  </mergeCells>
  <dataValidations count="2">
    <dataValidation type="list" sqref="H5:H14" xr:uid="{00000000-0002-0000-0200-000000000000}">
      <formula1>"PASS,FAIL,PENDIENTE,BLOQUEADO"</formula1>
    </dataValidation>
    <dataValidation type="list" sqref="D5:D14" xr:uid="{00000000-0002-0000-0200-000001000000}">
      <formula1>"Crítica,Alta,Media,Baja"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selection sqref="A1:I1"/>
    </sheetView>
  </sheetViews>
  <sheetFormatPr baseColWidth="10" defaultColWidth="9.140625" defaultRowHeight="15" x14ac:dyDescent="0.25"/>
  <cols>
    <col min="1" max="1" width="13" customWidth="1"/>
    <col min="2" max="2" width="26" customWidth="1"/>
    <col min="3" max="3" width="18" customWidth="1"/>
    <col min="4" max="4" width="12" customWidth="1"/>
    <col min="5" max="5" width="32" customWidth="1"/>
    <col min="6" max="6" width="42" customWidth="1"/>
    <col min="7" max="7" width="45" customWidth="1"/>
    <col min="8" max="8" width="14" customWidth="1"/>
    <col min="9" max="9" width="28" customWidth="1"/>
  </cols>
  <sheetData>
    <row r="1" spans="1:9" ht="27.95" customHeight="1" x14ac:dyDescent="0.25">
      <c r="A1" s="21" t="s">
        <v>175</v>
      </c>
      <c r="B1" s="20"/>
      <c r="C1" s="20"/>
      <c r="D1" s="20"/>
      <c r="E1" s="20"/>
      <c r="F1" s="20"/>
      <c r="G1" s="20"/>
      <c r="H1" s="20"/>
      <c r="I1" s="20"/>
    </row>
    <row r="2" spans="1:9" ht="20.100000000000001" customHeight="1" x14ac:dyDescent="0.25">
      <c r="A2" s="19" t="s">
        <v>176</v>
      </c>
      <c r="B2" s="20"/>
      <c r="C2" s="20"/>
      <c r="D2" s="20"/>
      <c r="E2" s="20"/>
      <c r="F2" s="20"/>
      <c r="G2" s="20"/>
      <c r="H2" s="20"/>
      <c r="I2" s="20"/>
    </row>
    <row r="4" spans="1:9" ht="24.95" customHeight="1" x14ac:dyDescent="0.25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</row>
    <row r="5" spans="1:9" ht="68.099999999999994" customHeight="1" x14ac:dyDescent="0.25">
      <c r="A5" s="16" t="s">
        <v>177</v>
      </c>
      <c r="B5" s="4" t="s">
        <v>178</v>
      </c>
      <c r="C5" s="3" t="s">
        <v>69</v>
      </c>
      <c r="D5" s="16" t="s">
        <v>70</v>
      </c>
      <c r="E5" s="4" t="s">
        <v>179</v>
      </c>
      <c r="F5" s="4" t="s">
        <v>180</v>
      </c>
      <c r="G5" s="4" t="s">
        <v>181</v>
      </c>
      <c r="H5" s="17" t="s">
        <v>6</v>
      </c>
      <c r="I5" s="4" t="s">
        <v>182</v>
      </c>
    </row>
    <row r="6" spans="1:9" ht="68.099999999999994" customHeight="1" x14ac:dyDescent="0.25">
      <c r="A6" s="18" t="s">
        <v>183</v>
      </c>
      <c r="B6" s="8" t="s">
        <v>184</v>
      </c>
      <c r="C6" s="7" t="s">
        <v>69</v>
      </c>
      <c r="D6" s="18" t="s">
        <v>70</v>
      </c>
      <c r="E6" s="8" t="s">
        <v>185</v>
      </c>
      <c r="F6" s="8" t="s">
        <v>186</v>
      </c>
      <c r="G6" s="8" t="s">
        <v>187</v>
      </c>
      <c r="H6" s="17" t="s">
        <v>6</v>
      </c>
      <c r="I6" s="8" t="s">
        <v>188</v>
      </c>
    </row>
    <row r="7" spans="1:9" ht="68.099999999999994" customHeight="1" x14ac:dyDescent="0.25">
      <c r="A7" s="16" t="s">
        <v>189</v>
      </c>
      <c r="B7" s="4" t="s">
        <v>190</v>
      </c>
      <c r="C7" s="3" t="s">
        <v>69</v>
      </c>
      <c r="D7" s="16" t="s">
        <v>98</v>
      </c>
      <c r="E7" s="4" t="s">
        <v>191</v>
      </c>
      <c r="F7" s="4" t="s">
        <v>192</v>
      </c>
      <c r="G7" s="4" t="s">
        <v>193</v>
      </c>
      <c r="H7" s="17" t="s">
        <v>6</v>
      </c>
      <c r="I7" s="4" t="s">
        <v>194</v>
      </c>
    </row>
    <row r="8" spans="1:9" ht="68.099999999999994" customHeight="1" x14ac:dyDescent="0.25">
      <c r="A8" s="18" t="s">
        <v>195</v>
      </c>
      <c r="B8" s="8" t="s">
        <v>196</v>
      </c>
      <c r="C8" s="7" t="s">
        <v>197</v>
      </c>
      <c r="D8" s="18" t="s">
        <v>70</v>
      </c>
      <c r="E8" s="8" t="s">
        <v>198</v>
      </c>
      <c r="F8" s="8" t="s">
        <v>199</v>
      </c>
      <c r="G8" s="8" t="s">
        <v>200</v>
      </c>
      <c r="H8" s="17" t="s">
        <v>6</v>
      </c>
      <c r="I8" s="8" t="s">
        <v>201</v>
      </c>
    </row>
    <row r="9" spans="1:9" ht="68.099999999999994" customHeight="1" x14ac:dyDescent="0.25">
      <c r="A9" s="16" t="s">
        <v>202</v>
      </c>
      <c r="B9" s="4" t="s">
        <v>203</v>
      </c>
      <c r="C9" s="3" t="s">
        <v>104</v>
      </c>
      <c r="D9" s="16" t="s">
        <v>98</v>
      </c>
      <c r="E9" s="4" t="s">
        <v>204</v>
      </c>
      <c r="F9" s="4" t="s">
        <v>205</v>
      </c>
      <c r="G9" s="4" t="s">
        <v>206</v>
      </c>
      <c r="H9" s="17" t="s">
        <v>6</v>
      </c>
      <c r="I9" s="4" t="s">
        <v>207</v>
      </c>
    </row>
  </sheetData>
  <mergeCells count="2">
    <mergeCell ref="A1:I1"/>
    <mergeCell ref="A2:I2"/>
  </mergeCells>
  <dataValidations count="2">
    <dataValidation type="list" sqref="H5:H9" xr:uid="{00000000-0002-0000-0300-000000000000}">
      <formula1>"PASS,FAIL,PENDIENTE,BLOQUEADO"</formula1>
    </dataValidation>
    <dataValidation type="list" sqref="D5:D9" xr:uid="{00000000-0002-0000-0300-000001000000}">
      <formula1>"Crítica,Alta,Media,Baja"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sqref="A1:I1"/>
    </sheetView>
  </sheetViews>
  <sheetFormatPr baseColWidth="10" defaultColWidth="9.140625" defaultRowHeight="15" x14ac:dyDescent="0.25"/>
  <cols>
    <col min="1" max="1" width="13" customWidth="1"/>
    <col min="2" max="2" width="26" customWidth="1"/>
    <col min="3" max="3" width="18" customWidth="1"/>
    <col min="4" max="4" width="12" customWidth="1"/>
    <col min="5" max="5" width="32" customWidth="1"/>
    <col min="6" max="6" width="42" customWidth="1"/>
    <col min="7" max="7" width="45" customWidth="1"/>
    <col min="8" max="8" width="14" customWidth="1"/>
    <col min="9" max="9" width="28" customWidth="1"/>
  </cols>
  <sheetData>
    <row r="1" spans="1:9" ht="27.95" customHeight="1" x14ac:dyDescent="0.25">
      <c r="A1" s="21" t="s">
        <v>208</v>
      </c>
      <c r="B1" s="20"/>
      <c r="C1" s="20"/>
      <c r="D1" s="20"/>
      <c r="E1" s="20"/>
      <c r="F1" s="20"/>
      <c r="G1" s="20"/>
      <c r="H1" s="20"/>
      <c r="I1" s="20"/>
    </row>
    <row r="2" spans="1:9" ht="20.100000000000001" customHeight="1" x14ac:dyDescent="0.25">
      <c r="A2" s="19" t="s">
        <v>209</v>
      </c>
      <c r="B2" s="20"/>
      <c r="C2" s="20"/>
      <c r="D2" s="20"/>
      <c r="E2" s="20"/>
      <c r="F2" s="20"/>
      <c r="G2" s="20"/>
      <c r="H2" s="20"/>
      <c r="I2" s="20"/>
    </row>
    <row r="4" spans="1:9" ht="24.95" customHeight="1" x14ac:dyDescent="0.25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</row>
    <row r="5" spans="1:9" ht="68.099999999999994" customHeight="1" x14ac:dyDescent="0.25">
      <c r="A5" s="16" t="s">
        <v>210</v>
      </c>
      <c r="B5" s="4" t="s">
        <v>211</v>
      </c>
      <c r="C5" s="3" t="s">
        <v>212</v>
      </c>
      <c r="D5" s="16" t="s">
        <v>70</v>
      </c>
      <c r="E5" s="4" t="s">
        <v>213</v>
      </c>
      <c r="F5" s="4" t="s">
        <v>214</v>
      </c>
      <c r="G5" s="4" t="s">
        <v>215</v>
      </c>
      <c r="H5" s="17" t="s">
        <v>6</v>
      </c>
      <c r="I5" s="4" t="s">
        <v>216</v>
      </c>
    </row>
    <row r="6" spans="1:9" ht="68.099999999999994" customHeight="1" x14ac:dyDescent="0.25">
      <c r="A6" s="18" t="s">
        <v>217</v>
      </c>
      <c r="B6" s="8" t="s">
        <v>218</v>
      </c>
      <c r="C6" s="7" t="s">
        <v>91</v>
      </c>
      <c r="D6" s="18" t="s">
        <v>70</v>
      </c>
      <c r="E6" s="8" t="s">
        <v>219</v>
      </c>
      <c r="F6" s="8" t="s">
        <v>220</v>
      </c>
      <c r="G6" s="8" t="s">
        <v>221</v>
      </c>
      <c r="H6" s="17" t="s">
        <v>6</v>
      </c>
      <c r="I6" s="8" t="s">
        <v>222</v>
      </c>
    </row>
    <row r="7" spans="1:9" ht="68.099999999999994" customHeight="1" x14ac:dyDescent="0.25">
      <c r="A7" s="16" t="s">
        <v>223</v>
      </c>
      <c r="B7" s="4" t="s">
        <v>224</v>
      </c>
      <c r="C7" s="3" t="s">
        <v>225</v>
      </c>
      <c r="D7" s="16" t="s">
        <v>78</v>
      </c>
      <c r="E7" s="4" t="s">
        <v>226</v>
      </c>
      <c r="F7" s="4" t="s">
        <v>227</v>
      </c>
      <c r="G7" s="4" t="s">
        <v>228</v>
      </c>
      <c r="H7" s="17" t="s">
        <v>6</v>
      </c>
      <c r="I7" s="4" t="s">
        <v>229</v>
      </c>
    </row>
    <row r="8" spans="1:9" ht="68.099999999999994" customHeight="1" x14ac:dyDescent="0.25">
      <c r="A8" s="18" t="s">
        <v>230</v>
      </c>
      <c r="B8" s="8" t="s">
        <v>231</v>
      </c>
      <c r="C8" s="7" t="s">
        <v>232</v>
      </c>
      <c r="D8" s="18" t="s">
        <v>78</v>
      </c>
      <c r="E8" s="8" t="s">
        <v>233</v>
      </c>
      <c r="F8" s="8" t="s">
        <v>234</v>
      </c>
      <c r="G8" s="8" t="s">
        <v>235</v>
      </c>
      <c r="H8" s="17" t="s">
        <v>6</v>
      </c>
      <c r="I8" s="8" t="s">
        <v>236</v>
      </c>
    </row>
    <row r="9" spans="1:9" ht="68.099999999999994" customHeight="1" x14ac:dyDescent="0.25">
      <c r="A9" s="16" t="s">
        <v>237</v>
      </c>
      <c r="B9" s="4" t="s">
        <v>238</v>
      </c>
      <c r="C9" s="3" t="s">
        <v>239</v>
      </c>
      <c r="D9" s="16" t="s">
        <v>78</v>
      </c>
      <c r="E9" s="4" t="s">
        <v>240</v>
      </c>
      <c r="F9" s="4" t="s">
        <v>241</v>
      </c>
      <c r="G9" s="4" t="s">
        <v>242</v>
      </c>
      <c r="H9" s="17" t="s">
        <v>6</v>
      </c>
      <c r="I9" s="4" t="s">
        <v>243</v>
      </c>
    </row>
  </sheetData>
  <mergeCells count="2">
    <mergeCell ref="A1:I1"/>
    <mergeCell ref="A2:I2"/>
  </mergeCells>
  <dataValidations count="2">
    <dataValidation type="list" sqref="H5:H9" xr:uid="{00000000-0002-0000-0400-000000000000}">
      <formula1>"PASS,FAIL,PENDIENTE,BLOQUEADO"</formula1>
    </dataValidation>
    <dataValidation type="list" sqref="D5:D9" xr:uid="{00000000-0002-0000-0400-000001000000}">
      <formula1>"Crítica,Alta,Media,Baja"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selection sqref="A1:I1"/>
    </sheetView>
  </sheetViews>
  <sheetFormatPr baseColWidth="10" defaultColWidth="9.140625" defaultRowHeight="15" x14ac:dyDescent="0.25"/>
  <cols>
    <col min="1" max="1" width="13" customWidth="1"/>
    <col min="2" max="2" width="26" customWidth="1"/>
    <col min="3" max="3" width="18" customWidth="1"/>
    <col min="4" max="4" width="12" customWidth="1"/>
    <col min="5" max="5" width="32" customWidth="1"/>
    <col min="6" max="6" width="42" customWidth="1"/>
    <col min="7" max="7" width="45" customWidth="1"/>
    <col min="8" max="8" width="14" customWidth="1"/>
    <col min="9" max="9" width="28" customWidth="1"/>
  </cols>
  <sheetData>
    <row r="1" spans="1:9" ht="27.95" customHeight="1" x14ac:dyDescent="0.25">
      <c r="A1" s="21" t="s">
        <v>244</v>
      </c>
      <c r="B1" s="20"/>
      <c r="C1" s="20"/>
      <c r="D1" s="20"/>
      <c r="E1" s="20"/>
      <c r="F1" s="20"/>
      <c r="G1" s="20"/>
      <c r="H1" s="20"/>
      <c r="I1" s="20"/>
    </row>
    <row r="2" spans="1:9" ht="20.100000000000001" customHeight="1" x14ac:dyDescent="0.25">
      <c r="A2" s="19" t="s">
        <v>245</v>
      </c>
      <c r="B2" s="20"/>
      <c r="C2" s="20"/>
      <c r="D2" s="20"/>
      <c r="E2" s="20"/>
      <c r="F2" s="20"/>
      <c r="G2" s="20"/>
      <c r="H2" s="20"/>
      <c r="I2" s="20"/>
    </row>
    <row r="4" spans="1:9" ht="24.95" customHeight="1" x14ac:dyDescent="0.25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</row>
    <row r="5" spans="1:9" ht="68.099999999999994" customHeight="1" x14ac:dyDescent="0.25">
      <c r="A5" s="16" t="s">
        <v>246</v>
      </c>
      <c r="B5" s="4" t="s">
        <v>247</v>
      </c>
      <c r="C5" s="3" t="s">
        <v>248</v>
      </c>
      <c r="D5" s="16" t="s">
        <v>70</v>
      </c>
      <c r="E5" s="4" t="s">
        <v>249</v>
      </c>
      <c r="F5" s="4" t="s">
        <v>250</v>
      </c>
      <c r="G5" s="4" t="s">
        <v>251</v>
      </c>
      <c r="H5" s="17" t="s">
        <v>6</v>
      </c>
      <c r="I5" s="4" t="s">
        <v>252</v>
      </c>
    </row>
    <row r="6" spans="1:9" ht="68.099999999999994" customHeight="1" x14ac:dyDescent="0.25">
      <c r="A6" s="18" t="s">
        <v>253</v>
      </c>
      <c r="B6" s="8" t="s">
        <v>254</v>
      </c>
      <c r="C6" s="7" t="s">
        <v>255</v>
      </c>
      <c r="D6" s="18" t="s">
        <v>70</v>
      </c>
      <c r="E6" s="8" t="s">
        <v>256</v>
      </c>
      <c r="F6" s="8" t="s">
        <v>257</v>
      </c>
      <c r="G6" s="8" t="s">
        <v>258</v>
      </c>
      <c r="H6" s="17" t="s">
        <v>6</v>
      </c>
      <c r="I6" s="8" t="s">
        <v>259</v>
      </c>
    </row>
    <row r="7" spans="1:9" ht="68.099999999999994" customHeight="1" x14ac:dyDescent="0.25">
      <c r="A7" s="16" t="s">
        <v>260</v>
      </c>
      <c r="B7" s="4" t="s">
        <v>261</v>
      </c>
      <c r="C7" s="3" t="s">
        <v>91</v>
      </c>
      <c r="D7" s="16" t="s">
        <v>78</v>
      </c>
      <c r="E7" s="4" t="s">
        <v>262</v>
      </c>
      <c r="F7" s="4" t="s">
        <v>263</v>
      </c>
      <c r="G7" s="4" t="s">
        <v>264</v>
      </c>
      <c r="H7" s="17" t="s">
        <v>6</v>
      </c>
      <c r="I7" s="4" t="s">
        <v>265</v>
      </c>
    </row>
    <row r="8" spans="1:9" ht="68.099999999999994" customHeight="1" x14ac:dyDescent="0.25">
      <c r="A8" s="18" t="s">
        <v>266</v>
      </c>
      <c r="B8" s="8" t="s">
        <v>267</v>
      </c>
      <c r="C8" s="7" t="s">
        <v>268</v>
      </c>
      <c r="D8" s="18" t="s">
        <v>98</v>
      </c>
      <c r="E8" s="8" t="s">
        <v>269</v>
      </c>
      <c r="F8" s="8" t="s">
        <v>270</v>
      </c>
      <c r="G8" s="8" t="s">
        <v>271</v>
      </c>
      <c r="H8" s="17" t="s">
        <v>6</v>
      </c>
      <c r="I8" s="8" t="s">
        <v>272</v>
      </c>
    </row>
  </sheetData>
  <mergeCells count="2">
    <mergeCell ref="A1:I1"/>
    <mergeCell ref="A2:I2"/>
  </mergeCells>
  <dataValidations count="2">
    <dataValidation type="list" sqref="H5:H8" xr:uid="{00000000-0002-0000-0500-000000000000}">
      <formula1>"PASS,FAIL,PENDIENTE,BLOQUEADO"</formula1>
    </dataValidation>
    <dataValidation type="list" sqref="D5:D8" xr:uid="{00000000-0002-0000-0500-000001000000}">
      <formula1>"Crítica,Alta,Media,Baja"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tabSelected="1" workbookViewId="0">
      <selection sqref="A1:I1"/>
    </sheetView>
  </sheetViews>
  <sheetFormatPr baseColWidth="10" defaultColWidth="9.140625" defaultRowHeight="15" x14ac:dyDescent="0.25"/>
  <cols>
    <col min="1" max="1" width="13" customWidth="1"/>
    <col min="2" max="2" width="26" customWidth="1"/>
    <col min="3" max="3" width="18" customWidth="1"/>
    <col min="4" max="4" width="12" customWidth="1"/>
    <col min="5" max="5" width="32" customWidth="1"/>
    <col min="6" max="6" width="42" customWidth="1"/>
    <col min="7" max="7" width="45" customWidth="1"/>
    <col min="8" max="8" width="14" customWidth="1"/>
    <col min="9" max="9" width="28" customWidth="1"/>
  </cols>
  <sheetData>
    <row r="1" spans="1:9" ht="27.95" customHeight="1" x14ac:dyDescent="0.25">
      <c r="A1" s="22" t="s">
        <v>273</v>
      </c>
      <c r="B1" s="23"/>
      <c r="C1" s="23"/>
      <c r="D1" s="23"/>
      <c r="E1" s="23"/>
      <c r="F1" s="23"/>
      <c r="G1" s="23"/>
      <c r="H1" s="23"/>
      <c r="I1" s="23"/>
    </row>
    <row r="2" spans="1:9" ht="20.100000000000001" customHeight="1" x14ac:dyDescent="0.25">
      <c r="A2" s="19" t="s">
        <v>274</v>
      </c>
      <c r="B2" s="20"/>
      <c r="C2" s="20"/>
      <c r="D2" s="20"/>
      <c r="E2" s="20"/>
      <c r="F2" s="20"/>
      <c r="G2" s="20"/>
      <c r="H2" s="20"/>
      <c r="I2" s="20"/>
    </row>
    <row r="4" spans="1:9" ht="24.95" customHeight="1" x14ac:dyDescent="0.25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</row>
    <row r="5" spans="1:9" ht="68.099999999999994" customHeight="1" x14ac:dyDescent="0.25">
      <c r="A5" s="16" t="s">
        <v>275</v>
      </c>
      <c r="B5" s="4" t="s">
        <v>276</v>
      </c>
      <c r="C5" s="3" t="s">
        <v>277</v>
      </c>
      <c r="D5" s="16" t="s">
        <v>70</v>
      </c>
      <c r="E5" s="4" t="s">
        <v>278</v>
      </c>
      <c r="F5" s="4" t="s">
        <v>279</v>
      </c>
      <c r="G5" s="4" t="s">
        <v>280</v>
      </c>
      <c r="H5" s="17" t="s">
        <v>6</v>
      </c>
      <c r="I5" s="4" t="s">
        <v>281</v>
      </c>
    </row>
    <row r="6" spans="1:9" ht="68.099999999999994" customHeight="1" x14ac:dyDescent="0.25">
      <c r="A6" s="18" t="s">
        <v>282</v>
      </c>
      <c r="B6" s="8" t="s">
        <v>283</v>
      </c>
      <c r="C6" s="7" t="s">
        <v>284</v>
      </c>
      <c r="D6" s="18" t="s">
        <v>70</v>
      </c>
      <c r="E6" s="8" t="s">
        <v>285</v>
      </c>
      <c r="F6" s="8" t="s">
        <v>286</v>
      </c>
      <c r="G6" s="8" t="s">
        <v>287</v>
      </c>
      <c r="H6" s="17" t="s">
        <v>6</v>
      </c>
      <c r="I6" s="8" t="s">
        <v>288</v>
      </c>
    </row>
    <row r="7" spans="1:9" ht="68.099999999999994" customHeight="1" x14ac:dyDescent="0.25">
      <c r="A7" s="16" t="s">
        <v>289</v>
      </c>
      <c r="B7" s="4" t="s">
        <v>290</v>
      </c>
      <c r="C7" s="3" t="s">
        <v>291</v>
      </c>
      <c r="D7" s="16" t="s">
        <v>98</v>
      </c>
      <c r="E7" s="4" t="s">
        <v>292</v>
      </c>
      <c r="F7" s="4" t="s">
        <v>293</v>
      </c>
      <c r="G7" s="4" t="s">
        <v>294</v>
      </c>
      <c r="H7" s="17" t="s">
        <v>6</v>
      </c>
      <c r="I7" s="4" t="s">
        <v>295</v>
      </c>
    </row>
    <row r="8" spans="1:9" ht="68.099999999999994" customHeight="1" x14ac:dyDescent="0.25">
      <c r="A8" s="18" t="s">
        <v>296</v>
      </c>
      <c r="B8" s="8" t="s">
        <v>297</v>
      </c>
      <c r="C8" s="7" t="s">
        <v>298</v>
      </c>
      <c r="D8" s="18" t="s">
        <v>78</v>
      </c>
      <c r="E8" s="8" t="s">
        <v>299</v>
      </c>
      <c r="F8" s="8" t="s">
        <v>300</v>
      </c>
      <c r="G8" s="8" t="s">
        <v>301</v>
      </c>
      <c r="H8" s="17" t="s">
        <v>6</v>
      </c>
      <c r="I8" s="8" t="s">
        <v>302</v>
      </c>
    </row>
    <row r="9" spans="1:9" ht="68.099999999999994" customHeight="1" x14ac:dyDescent="0.25">
      <c r="A9" s="16" t="s">
        <v>303</v>
      </c>
      <c r="B9" s="4" t="s">
        <v>304</v>
      </c>
      <c r="C9" s="3" t="s">
        <v>305</v>
      </c>
      <c r="D9" s="16" t="s">
        <v>78</v>
      </c>
      <c r="E9" s="4" t="s">
        <v>306</v>
      </c>
      <c r="F9" s="4" t="s">
        <v>307</v>
      </c>
      <c r="G9" s="4" t="s">
        <v>308</v>
      </c>
      <c r="H9" s="17" t="s">
        <v>6</v>
      </c>
      <c r="I9" s="4" t="s">
        <v>309</v>
      </c>
    </row>
    <row r="10" spans="1:9" ht="68.099999999999994" customHeight="1" x14ac:dyDescent="0.25">
      <c r="A10" s="18" t="s">
        <v>310</v>
      </c>
      <c r="B10" s="8" t="s">
        <v>311</v>
      </c>
      <c r="C10" s="7" t="s">
        <v>312</v>
      </c>
      <c r="D10" s="18" t="s">
        <v>78</v>
      </c>
      <c r="E10" s="8" t="s">
        <v>313</v>
      </c>
      <c r="F10" s="8" t="s">
        <v>314</v>
      </c>
      <c r="G10" s="8" t="s">
        <v>315</v>
      </c>
      <c r="H10" s="17" t="s">
        <v>6</v>
      </c>
      <c r="I10" s="8" t="s">
        <v>316</v>
      </c>
    </row>
  </sheetData>
  <mergeCells count="2">
    <mergeCell ref="A1:I1"/>
    <mergeCell ref="A2:I2"/>
  </mergeCells>
  <dataValidations count="2">
    <dataValidation type="list" sqref="H5:H10" xr:uid="{00000000-0002-0000-0600-000000000000}">
      <formula1>"PASS,FAIL,PENDIENTE,BLOQUEADO"</formula1>
    </dataValidation>
    <dataValidation type="list" sqref="D5:D10" xr:uid="{00000000-0002-0000-0600-000001000000}">
      <formula1>"Crítica,Alta,Media,Baja"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Resumen_QA</vt:lpstr>
      <vt:lpstr>1_Estimador</vt:lpstr>
      <vt:lpstr>2_Kits_Comun</vt:lpstr>
      <vt:lpstr>3_Kits_Especiales</vt:lpstr>
      <vt:lpstr>4_Modulo_3</vt:lpstr>
      <vt:lpstr>5_Modulo_4</vt:lpstr>
      <vt:lpstr>6_Modulo_6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. GONZALEZ MARDONES</cp:lastModifiedBy>
  <dcterms:created xsi:type="dcterms:W3CDTF">2026-10-19T20:20:14Z</dcterms:created>
  <dcterms:modified xsi:type="dcterms:W3CDTF">2026-10-20T17:37:12Z</dcterms:modified>
</cp:coreProperties>
</file>